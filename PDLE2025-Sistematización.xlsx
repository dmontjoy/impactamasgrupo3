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EE" sheetId="1" r:id="rId5"/>
    <sheet state="visible" name="Contexto" sheetId="2" r:id="rId6"/>
    <sheet state="visible" name="Alcance" sheetId="3" r:id="rId7"/>
    <sheet state="visible" name="CualiEjecución" sheetId="4" r:id="rId8"/>
    <sheet state="visible" name="Lecciones" sheetId="5" r:id="rId9"/>
    <sheet state="visible" name="ProgVSEjec" sheetId="6" r:id="rId10"/>
    <sheet state="visible" name="%ProgVSEjec" sheetId="7" r:id="rId11"/>
    <sheet state="visible" name="Impacto" sheetId="8" r:id="rId12"/>
    <sheet state="visible" name="Sugerencias facilitadora" sheetId="9" r:id="rId13"/>
  </sheets>
  <definedNames/>
  <calcPr/>
</workbook>
</file>

<file path=xl/sharedStrings.xml><?xml version="1.0" encoding="utf-8"?>
<sst xmlns="http://schemas.openxmlformats.org/spreadsheetml/2006/main" count="320" uniqueCount="141">
  <si>
    <t>Institución educativa</t>
  </si>
  <si>
    <t>UGT</t>
  </si>
  <si>
    <t>Provincia</t>
  </si>
  <si>
    <t>Distrito</t>
  </si>
  <si>
    <t>Centro Poblado</t>
  </si>
  <si>
    <t>Cod modular</t>
  </si>
  <si>
    <t>Cod local</t>
  </si>
  <si>
    <t>Nivel modular</t>
  </si>
  <si>
    <t>20850 MARISCAL CACERES</t>
  </si>
  <si>
    <t>UGT Valle Fortaleza</t>
  </si>
  <si>
    <t>BOLOGNESI</t>
  </si>
  <si>
    <t>COLQUIOC</t>
  </si>
  <si>
    <t>CHASQUITAMBO</t>
  </si>
  <si>
    <t>0577270</t>
  </si>
  <si>
    <t>019641</t>
  </si>
  <si>
    <t>Secundaria</t>
  </si>
  <si>
    <t>20851</t>
  </si>
  <si>
    <t>LLAMPA</t>
  </si>
  <si>
    <t>1090851</t>
  </si>
  <si>
    <t>019655</t>
  </si>
  <si>
    <t>86221 SAN AGUSTIN</t>
  </si>
  <si>
    <t>CAJACAY</t>
  </si>
  <si>
    <t>0411850</t>
  </si>
  <si>
    <t>019561</t>
  </si>
  <si>
    <t>86974 ISABEL FLORES DE OLIVA</t>
  </si>
  <si>
    <t>SANTA ROSA</t>
  </si>
  <si>
    <t>0735720</t>
  </si>
  <si>
    <t>019617</t>
  </si>
  <si>
    <t>86244 LUIS PARDO NOVOA</t>
  </si>
  <si>
    <t>ANTONIO RAYMONDI</t>
  </si>
  <si>
    <t>RAQUIA</t>
  </si>
  <si>
    <t>0597609</t>
  </si>
  <si>
    <t>019392</t>
  </si>
  <si>
    <t>86567 SAN JUAN DE PARARIN</t>
  </si>
  <si>
    <t>RECUAY</t>
  </si>
  <si>
    <t>PARARIN</t>
  </si>
  <si>
    <t>RINCONADA</t>
  </si>
  <si>
    <t>0681478</t>
  </si>
  <si>
    <t>033543</t>
  </si>
  <si>
    <t>86468-1</t>
  </si>
  <si>
    <t>UGT San Marcos</t>
  </si>
  <si>
    <t>HUARI</t>
  </si>
  <si>
    <t>CHAVIN DE HUANTAR</t>
  </si>
  <si>
    <t>NUEVO PROGRESO</t>
  </si>
  <si>
    <t>1368182</t>
  </si>
  <si>
    <t>024015</t>
  </si>
  <si>
    <t>CARLOS ALBERTO IZAGUIRRE</t>
  </si>
  <si>
    <t>0411819</t>
  </si>
  <si>
    <t>024044</t>
  </si>
  <si>
    <t>86350</t>
  </si>
  <si>
    <t>MACHAC</t>
  </si>
  <si>
    <t>0681494</t>
  </si>
  <si>
    <t>023817</t>
  </si>
  <si>
    <t>Descripción</t>
  </si>
  <si>
    <t>Facilitador/a</t>
  </si>
  <si>
    <t xml:space="preserve">El Programa de Liderazgo para Estudiantes (PDLE) 2025 se implementó en tres instituciones educativas de nivel secundario ubicadas en centros poblados rurales de la provincia de Bolognesi y Recuay, región Áncash. Cada institución presenta particularidades geográficas, culturales y educativas que configuraron el escenario específico de intervención. Comprender estas características contextuales resulta fundamental para dimensionar tanto los desafíos como las oportunidades que enmarcaron el desarrollo del programa, así como para interpretar adecuadamente los resultados alcanzados. 
A continuación, se presenta la descripción detallada del contexto de cada una de las instituciones educativas beneficiarias: IE 20850 Mariscal Cáceres (Chasquitambo, Colquioc), IE 20851 San Juan de Colquioc (Llampa, Colquioc) e IE 86567 San Juan de Pararín (Rinconada, Pararín).
IE 20850 Mariscal Cáceres - Chasquitambo, Colquioc
El centro poblado de Chasquitambo se caracteriza por su desarrollo agrícola orientado principalmente a la producción frutícola: palta, naranja, chirimoya, entre otros. Su ubicación estratégica como punto de tránsito favorece la actividad comercial, convirtiéndose en lugar de descanso y abastecimiento para viajeros. La infraestructura vial, con calles pavimentadas, facilita el acceso y la conectividad con otros poblados.La dinámica social de Chasquitambo se caracteriza por relaciones cordiales entre vecinos, aunque con una marcada tendencia al control social informal a través de la observación constante del comportamiento público, lo que genera un ambiente donde los rumores y comentarios son frecuentes.
En este centro poblado se ubica la IE 20850 Mariscal Cáceres. Los docentes presentan una diversidad de estilos pedagógicos, sin embargo, la mayoría utiliza prácticas disciplinarias tradicionales de corte autoritario. El relacionamiento de los docentes con nuevos miembros en la comunidad educativa atraviesa una fase inicial marcada por la desconfianza y actitudes defensivas, que gradualmente evolucionan hacia la integración. Los espacios de reunión institucional se caracterizan por ser polémicas ante la diversidad de posturas. Sin embargo, ante situaciones críticas, el colectivo docente se cohesiona para establecer denuncias, exigencias o soluciones. 
Los estudiantes de tercero de secundaria se encuentran divididos en dos secciones. Un sector demuestra capacidad para expresar opiniones con soltura y participar activamente en dinámicas grupales, otro grupo tiene tendencia marcada hacia la introversión que requiere estímulos adicionales para involucrarse. Una característica transversal en este nivel es la marcada presencia de dudas e imprecisiones respecto a sus metas académicas y ocupacionales, concentrando sus ideas de futuro principalmente en horizontes de corto plazo sin una visión articulada de mediano o largo plazo.
Los estudiantes de cuarto de secundaria presentan elevados niveles de conductas disruptivas manifestadas en distracción constante, alteración del orden en el aula, uso de lenguaje ofensivo e incluso agresiones físicas entre compañeros. Se observa escaso respeto hacia la autoridad docente y marcada desmotivación frente a actividades académicas y de desarrollo personal. Adicionalmente, varios estudiantes evidencian dificultades para expresar opiniones de manera clara y asertiva, limitando sustancialmente la calidad del intercambio grupal y el aprovechamiento de los espacios formativos.
Los estudiantes de quinto de secundaria muestran mayor madurez y definición en sus aspiraciones futuras. Se distinguen por su competitividad académica y creatividad, manifestando interés particular en actividades artísticas, manualidades y tareas prácticas. Varios expresan con claridad su deseo de continuar estudios superiores, especialmente en carreras vinculadas al sector salud e ingenierías. Sin embargo, persisten diferencias al interior de los grupos: mientras un sector participa activamente y comparte con seguridad, otro permanece en silencio evidenciando inseguridad para expresarse. En algunos casos se identificaron sueños difusos, caminos poco realistas o ausencia total de claridad sobre qué hacer al culminar la educación secundaria, lo que justifica la necesidad de una orientación estructurada.
IE 20851 San Juan de Colquioc - Llampa, Colquioc
El centro poblado de Llampa se caracteriza por su menor extensión territorial y su economía basada en la agricultura diversificada, con cultivos de vegetales y frutas como papaya, maíz choclo y palta. El acceso presentó dificultades significativas debido a la condición de trocha de la carretera principal. Entre octubre y noviembre de 2025 (período de intervención) los trabajos de mejoramiento vial restringieron el tránsito a horarios específicos, limitando la movilidad hacia y desde la comunidad. La dinámica social se caracteriza por su tranquilidad, con presencia significativa de adultos mayores y un relacionamiento cordial pero reservado entre sus habitantes.
En este contexto se ubica la IE 20851, donde desde el director hasta los docentes mantienen un trato cordial, aunque predominan prácticas disciplinarias tradicionales en el manejo del aula. Asimismo, es escaso el nivel de involucramiento de los tutores en actividades complementarias al desarrollo de sus clases. La institución atiende a estudiantes en modalidad polidocente, lo que configura una dinámica educativa particular, habiendo desde 1 estudiante por grado.
Los estudiantes de 3ro, 4to y 5to (8) de esta institución se caracterizan por ser tranquilos, con buena capacidad de escucha lo que genera un ambiente sereno en el aula. Muestran especial interés por actividades de manualidades que les permiten expresar su creatividad. Sin embargo, varios evidencian dificultades en la expresión emocional, lo que limita su participación en espacios que demandan mayor apertura personal. Se identificó el caso particular de un estudiante de 3ro de secundaria con dificultades para relacionarse socialmente y a la exposición pública. Es importante señalar que el nivel cognitivo general del grupo se sitúa en promedio-bajo. Respecto a su proyección futura, la mayoría de estudiantes manifiesta dudas significativas entre continuar estudios superiores o incorporarse directamente al ámbito laboral, reflejando una indefinición que evidencia la necesidad de un proceso de orientación vocacional estructurado. Esta incertidumbre se vincula tanto a limitaciones en el autoconocimiento de sus capacidades e intereses como a un desconocimiento de las alternativas y rutas formativas disponibles en su contexto.
IE 86567 San Juan de Pararín - Rinconada, Pararín
El centro poblado de Rinconada se beneficia de su proximidad a la carretera pavimentada, lo que garantiza un acceso cómodo y facilita la conectividad con otros centros poblados. La economía local se centra en la agricultura, principalmente en la producción frutícola. La estructura comunitaria es reducida, lo que facilita una mayor cercanía entre sus miembros.
En este contexto se ubica la IE 86567 San Juan de Pararín, cuya planta docente está compuesta mayoritariamente por profesores nombrados que presentan estilos pedagógicos que oscilan entre lo permisivo y lo autoritario. Asimismo, algunos presentan poca flexibilidad y apertura para hacer cambios en la dinámica o planificación establecida. Se identifican recurrentes momentos de tensión y confrontación en torno a diversos asuntos institucionales, que requieren la intervención de la dirección. Un aspecto relevante es la demanda constante por parte de los docentes de atención psicológica individual para sus estudiantes, evidenciando limitaciones en el desarrollo de estrategias pedagógicas de motivación para el aprendizaje y en el abordaje de necesidades socioemocionales desde el aula.
Los estudiantes de tercero de secundaria muestran una madurez emocional incipiente e interés pronunciado por actividades lúdicas y de interacción con pares. Sin embargo, se identificaron conductas disruptivas en un grupo reducido (tres estudiantes varones) siendo su principal motivación el deporte. Respecto a su proyección futura, el grupo presenta una polarización: algunos expresan con claridad su aspiración de acceder a estudios universitarios, mientras otros mantienen dudas significativas sobre el camino a seguir.
Los estudiantes de cuarto de secundaria constituyen un grupo particular, entre los varones que expresan marcado interés por el deporte y actividades físicas. Asimismo se identifica un sector con apatía y desmotivación tanto hacia la asistencia a clases como hacia la reflexión sobre su futuro. Un aspecto crítico observado en este grupo fue el consumo de sustancias por parte de algunos estudiantes, factor que influye directamente en cambios de conducta y dificultades de aprendizaje. Por otro lado, las adolescentes si bien tienden a la pasividad, tienen mayor claridad sobre su proyección a futuro a comparación de los varones.
Los estudiantes de quinto de secundaria se caracterizan por una buena integración colectiva, destacando el liderazgo positivo ejercido por una estudiante que genera cohesión entre sus compañeros. Sin embargo, también se observan estereotipos de género marcados, especialmente entre los varones, que condicionan la manera en que se relacionan y asumen roles en el aula. Este grupo tiende a mostrar preferencia por actividades de movimiento y dinámicas activas. En cuanto a sus metas futuras, un sector importante expresa con claridad su deseo de continuar estudios superiores y comenzar a insertarse en el mundo laboral, evidenciando mayor claridad sobre su futuro de vida en comparación con los grados anteriores.
Población alcanzada: 
En la IE 20850 Mariscal Cáceres la intervención del PDLE alcanzó a 106 estudiantes de tercero, cuarto y quinto de secundaria distribuidos en 6 grupos, distribuidos en 6 secciones (3°A: 22, 3°B: 21, 4°A: 13, 4°B: 15; 5°A: 16, 5°B: 19). La población estudiantil proviene de familias dedicadas principalmente a la agricultura frutícola y el comercio, ubicándose en un nivel socioeconómico medio. Se identificó heterogeneidad en los niveles de participación: mientras los estudiantes de tercero y quinto mostraron apertura a las dinámicas propuestas, el grupo de cuarto presentó resistencia inicial manifestada en conductas disruptivas, uso de lenguaje ofensivo y agresiones físicas entre pares. Los docentes, manifestaron disposición variable hacia la intervención, como facilitadores, acompañando las sesiones, motivando a los estudiantes y complementando con actividades de cierre vinculadas a los temas abordados; mientras que otros mantuvieron una postura de observación más distante.
En la IE 20851 San Juan de Colquioc el PDLE benefició a 8 estudiantes de tercero, cuarto y quinto de secundaria, provenientes de familias dedicadas a la agricultura de subsistencia, con un nivel socioeconómico bajo. La población estudiantil se caracteriza por su tranquilidad y capacidad de escucha, aunque con dificultades significativas en la expresión emocional y un nivel cognitivo promedio-bajo que demandó adaptaciones metodológicas constantes. Se identificó un caso particular de un estudiante de tercero con dificultades de socialización y exposición pública que requirió atención diferenciada. Los docentes, si bien cordiales en el trato, mostraron escaso involucramiento en actividades complementarias al desarrollo de sus sesiones. No se reportaron casos de violencia física, aunque sí se observaron dinámicas de exclusión sutil hacia estudiantes con dificultades de integración social.
En la IE 86567 San Juan de Pararín el PDLE alcanzó a 34 estudiantes distribuidos en tres grados (3°: 11, 4°: 12, 5°: 11), provenientes de familias con economía agrícola frutícola y nivel socioeconómico bajo. La población estudiantil presenta marcadas diferencias por grado: mientras tercero muestra madurez emocional incipiente con tendencia al juego, cuarto constituye un grupo de alto riesgo debido al presunto consumo de sustancias identificado en varios estudiantes, factor que incide directamente en cambios de conducta, ausentismo y dificultades de aprendizaje. Quinto, por su parte, evidencia mayor integración colectiva y claridad en sus metas futuras. Los docentes, en su mayoría nombrados, demandan constantemente atención psicológica individual para sus estudiantes, más no solicitan o autoreflexionan sobre sus propias prácticas para promover el desarrollo socioemocional de sus estudiantes. La rigidez institucional y la poca flexibilidad de algunos docentes ante cambios en la planificación representaron desafíos adicionales para la implementación del programa.
</t>
  </si>
  <si>
    <t>Yuly Ana Huayre Cochachin</t>
  </si>
  <si>
    <t xml:space="preserve">La propuesta de intervención 2025 del Programa de Liderazgo Estudiantil (PDLE)  de Efecto Áncash, dirigida específicamente al Aula 3 (estudiantes que culminan la educación secundaria). La implementación se llevó a cabo en el  territorio de Valle Fortaleza, una zona con riqueza cultural y desafíos socioeconómicos característicos de la región Áncash, impactando directamente a tres instituciones educativas: la IE San Agustín (distrito de Cajacay), la IE Isabel Flores de Oliva (centro poblado de Santa Rosa de Cajacay) y la IE Luis Pardo Novoa (distrito de Antonio Raymondi, Raquia).
El contexto socio-geográfico donde se desarrolla la intervención es rural, marcado por la dispersión poblacional, limitado acceso a servicios y una economía basada en la agricultura de subsistencia (frutales)  y la ganadería. Este escenario genera dinámicas específicas en el ámbito educativo, donde los jóvenes enfrentan situaciones desafiantes al finalizar la secundaria: la transición hacia la educación superior, la inserción laboral local o la migración hacia centros urbanos, decisiones que a menudo se toman con escaso acompañamiento y sin proyección.
La necesidad identificada es la ausencia de un proceso sistematizado y guiado para la construcción de un proyecto de vida, donde sobresale la incertidumbre sobre el futuro, una percepción limitada de oportunidades más allá del contexto inmediato y, en muchos casos, una mentalidad fija que limita el potencial personal para transformar sus realidades.
En este marco, la propuesta del proyecto Efecto Áncash se posiciona como una respuesta integral, dirigida a estudiantes de 3°, 4° y 5° grado de secundaria, con el propósito de facilitar la construcción de proyectos de vida viables y significativos y, de manera transversal, fortalecer las habilidades socioemocionales de agencia, mentalidad de crecimiento y pensamiento crítico. Estas competencias permitirán a los jóvenes diseñar,  ejecutar y adaptar sus planes de vida ante los retos de su entorno.
Este reporte recoge las conductas y concepciones observadas en la comunidad estudiantil y docentes tutores, y detalla cómo la intervención propuesta buscó generar un impacto transformador, dotando a los estudiantes de las herramientas necesarias y la claridad para impulsar su propio desarrollo y contribuir al de sus comunidades.
Población alcanzada: 
El programa de PDLE 2025, tuvo una población total de 112 estudiantes (3°, 4° y 5° de secundaria) en tres instituciones del Valle Fortaleza, conformado por 27 estudiantes de la IE San Agustín de Cajacay, 58 de la IE Luis Pardo Novoa de Raquia, y 27 de la IE Isabel Flores de Oliva del centro poblado de Santa Rosa.
Los y las estudiantes provenían mayoritariamente de familias de nivel socioeconómico bajo a medio-bajo, se evidenció un contexto familiar disfuncional, con presencia de violencia intrafamiliar (física y psicológica) y el consumo de alcohol por parte de algunas familias lo cual genera desmotivación, baja autoestima y la ausencia casi total de acompañamiento en sus aprendizajes; las tareas y proyectos escolares rara vez eran acompañados por las familias.
Se contó con la participación de los tutores en un número de 9 profesionales, de los cuales 7 participaron con compromiso constante y 2 de manera parcial. Este equipo, distribuido entre las tres instituciones (3 en Luis Pardo Novoa, 3 en Isabel Flores de Oliva, 1 en San Agustín con participación constante y 2 con participación parcial), los tutores participaron en el desarrollo de las sesiones y la construcción de proyectos de vida,  con actitud colaborativa, proactiva en bien de sus estudiantes. Los directivos de cada IE, brindaron apertura para la ejecución del Programa de Liderazgo Estudiantil (PDLE).
</t>
  </si>
  <si>
    <t>Rodríguez Calderón Milagros</t>
  </si>
  <si>
    <t xml:space="preserve">Población alcanzada: El Programa de Desarrollo de Liderazgo Estudiantil (PDLE) se implementó con apoyo directivo en un contexto socio-geográfico mixto, abarcando seis secciones de secundaria en las II.EE. Carlos Izaguirre (urbano, 3°B: 20, 4°B: 19), 86350 Machac (rural, 3°B: 14, 4°: 24) y 86468-1 Nuevo Progreso (rural, 4°: 16, 5°: 11). Las sesiones, ancladas al horario de Tutoría, contaron con la participación activa y actitud colaborativa de la totalidad de los seis tutores, fortaleciendo las habilidades de agencia, mentalidad de crecimiento y pensamiento crítico. Si bien se logró una conexión con los jóvenes ante la indecisión vocacional y conductas desafiantes, se identificaron desafíos clave: el bajo involucramiento familiar, la alerta de consumo de alcohol en la I.E. Carlos Izaguirre, y el uso desmedido de celulares como distractor. Se evidencio violencia entre estudiantes ya sea por apodos o burlas entre ellos; como también por marcas en el cuerpo. Lo cual nos muestra la baja autoestima, inseguridad de los estudiantes y la falta de acompañamiento de las familias en los aprendizajes de los estudiantes.
</t>
  </si>
  <si>
    <t>Lucia Olivares Portilla</t>
  </si>
  <si>
    <t>Estudiantes alcanzados</t>
  </si>
  <si>
    <t>Docentes alcanzados</t>
  </si>
  <si>
    <t>Valle Fortaleza</t>
  </si>
  <si>
    <t>20851 SAN JUAN DE COLQUIOC</t>
  </si>
  <si>
    <t>86221 SAN AGUSTÍN</t>
  </si>
  <si>
    <t>San Marcos</t>
  </si>
  <si>
    <t>CONSOLIDADO DEL ALCANCE</t>
  </si>
  <si>
    <t>Fase de arranque</t>
  </si>
  <si>
    <t>Facilitador/aAcciones clave (estrategias de intervención)</t>
  </si>
  <si>
    <t>Participación de actores clave</t>
  </si>
  <si>
    <t xml:space="preserve">La fase de arranque del Proyecto de Liderazgo para Estudiantes (PDLE) 2025 se desarrolló durante el mes de septiembre, comprendiendo un conjunto de actividades de diagnóstico, coordinación institucional y planificación que sentaron las bases para la implementación efectiva del PDLE.
Coordinaciones iniciales y presentación institucional
El proceso inició con visitas de presentación a las tres instituciones educativas asignadas, realizadas en conjunto con la coordinadora territorial. Estas primeras reuniones permitieron establecer contacto directo con los directivos, conocer la cantidad de secciones por grado, los horarios de tutoría, las rutas de acceso a cada centro poblado, así como información clave sobre la dinámica institucional que resultó fundamental para la propuesta de intervención. Posteriormente, se formalizó la presencia del programa mediante la entrega de oficios de presentación a cada dirección institucional.
En la IE 20850 Mariscal Cáceres se realizaron múltiples espacios de coordinación: una reunión con el director, el coordinador de TOE y los cuatro tutores iniciales donde se presentó el plan de trabajo del PDLE; posteriormente se sostuvieron dos espacios colectivos con el equipo docente más amplio y el psicólogo de la institución para presentar el programa, recoger sus necesidades y aportes. 
En la IE 20851 San Juan de Colquioc se entregó el plan de trabajo al director y se arribó a un primer acuerdo sobre el horario de intervención, el cual fue posteriormente revaluado de acuerdo a la participación de los estudiantes, lográndose ajustes necesarios tras la primera sesión.
En la IE 86567 San Juan de Pararín se realizó una reunión con la directora y los tres tutores en la que se presentó el plan de trabajo y se llegaron a acuerdos sobre los horarios de intervención. A solicitud explícita de los docentes, se acordó complementar el PDLE con espacios de orientación y consejería individual (atención primaria de salud mental) para estudiantes que lo solicitaran o fueran referidos por los tutores. 
Proceso de evaluación diagnóstica
Para conocer la dinámica específica de las secciones a intervenir y establecer una línea base, se implementó un proceso de evaluación diagnóstica que combinó instrumentos cuantitativos y cualitativos. Se aplicó la Escala de Habilidades Socioemocionales un instrumento cuantitativo tipo Likert que midió tres dimensiones: agencia (26 ítems que evalúan la capacidad de los estudiantes para tomar decisiones autónomas, establecer metas y perseverar ante obstáculos), mentalidad de crecimiento (17 ítems que miden la creencia de que las capacidades pueden desarrollarse mediante esfuerzo y aprendizaje), y pensamiento crítico (12 ítems que evalúan la capacidad de analizar información, cuestionar supuestos y tomar decisiones informadas). 
Complementariamente, se administró una Encuesta cualitativa sobre proyección futura que permitió explorar las aspiraciones, dudas e ideas de los estudiantes respecto a su vida post-escolar a través de las siguientes preguntas: ¿Qué quieres hacer al terminar el colegio? ¿Porque elegiste esa meta o sueño? ¿Qué tan claro tienes el camino para lograrlo? ¿Cuál será tu primer paso concreto para acercarte a tu meta?. Las respuestas fueron posteriormente analizadas y puntuadas en una rúbrica de cuatro niveles de desarrollo del proyecto de vida (0, 1, 2, 3, 4).
Este proceso de evaluación se enriqueció mediante conversaciones directas con los tutores de cada sección y observación participante en algunas aulas, permitiendo captar aspectos no visibles en los instrumentos estandarizados, tales como dinámicas de interacción, niveles de participación, conductas disruptivas y clima emocional de cada grupo.
El proceso de evaluación enfrentó algunos desafíos operativos. En primer lugar, la aplicación de ambos instrumentos demandó un tiempo mínimo de 30 minutos por estudiante debido a la extensión de la escala (55 ítems), lo que obligó a coordinaciones precisas con los horarios escolares para asegurar espacios sin interrupciones y sin interferir con actividades académicas prioritarias. En segundo lugar, algunos estudiantes manifestaron resistencia inicial a responder la escala debido a su extensión y a la presencia de algunos términos técnicos poco comprensibles para su contexto (como "coeficiente intelectual" en uno de los ítems), lo que requirió explicaciones adicionales y aclaraciones durante la aplicación. En tercer lugar, en las encuestas cualitativas, varios estudiantes proporcionaron respuestas excesivamente cortas y simples para evitar el esfuerzo de escribir, limitando la riqueza de información obtenida. 
No obstante, el proceso de evaluación también evidenció importantes fortalezas. La combinación de métodos cuantitativos y cualitativos permitió construir una caracterización integral y profunda de cada estudiante y grupo, identificando no solo niveles de desarrollo de habilidades socioemocionales mediante puntajes numéricos, sino también las particularidades cualitativas de las diferentes expresiones de proyección a futuro por grado, sección. Por ejemplo, se identificó que los estudiantes de quinto grado tendían a ubicarse en niveles más avanzados (3-4) de desarrollo de proyecto de vida, mientras que tercero y cuarto concentraban mayor proporción de respuestas en niveles iniciales o emergentes (1-2). Asimismo, se observó que las estudiantes mujeres, especialmente en cuarto de Pararín, mostraban mayor claridad en su proyección futura en comparación con sus compañeros varones del mismo grado.
La observación directa en aulas permitió validar y profundizar la información proporcionada por los instrumentos escritos, identificando casos específicos que requerirían acompañamiento diferenciado durante la intervención: el estudiante de tercero con dificultades marcadas de socialización y pánico a la exposición pública en Llampa, cuyas respuestas en los instrumentos no evidenciaban la profundidad de su dificultad; los estudiantes varones de cuarto año de Pararín con mayores niveles de apatía y desmotivación hacia su futuro, correlacionados con indicios de consumo de sustancias; y el grupo completo de cuarto grado de Mariscal Cáceres con conductas disruptivas constantes (agresiones verbales y físicas, desafío a la autoridad) que no quedaban reflejadas en sus puntajes de la escala socioemocional pero que constituyeron uno de los principales retos de intervención.
Diseño metodológico del PDLE
Paralelamente al proceso diagnóstico, se realizaron reuniones de trabajo con el equipo de facilitadoras del PDLE para revisar y ajustar la propuesta metodológica inicial del programa. Este proceso permitió afinar el objetivo general. Se estructuró el programa en tres módulos: Módulo I - Autoconocimiento (sesiones 1-4), Módulo II - Resiliencia (sesiones 5-6) y Módulo III - Proyecto de Vida (sesiones 7-8), cada uno con objetivos específicos y metodologías participativas diferenciadas.
El plan de trabajo validado contempló no solo las ocho sesiones del PDLE sino también la calendarización detallada de su implementación en cada institución educativa, considerando los calendarios escolares específicos. Esta planificación estratégica resultó fundamental para anticipar posibles dificultades, aunque posteriormente requirió múltiples ajustes debido a la dinámica cambiante de las instituciones educativas.
Primeras acciones implementadas
Se elaboró el plan de trabajo con una descripción sucinta de las ocho sesiones del PDLE así como la calendarización detallada de su implementación en cada institución educativa, considerando los calendarios escolares específicos. Las primeras acciones concretas incluyeron la presentación del plan de trabajo a los directivos y a cada tutor de los grupos asignados. Asimismo se elaboró y entregó una documentación adicional a los tutores de la IE 20850 Mariscal Cáceres que detalla los temas abordados en cada sesión como insumo para su planificación formal de tutoría en el cuarto bimestre, asimismo se asistió a solicitud de algunos tutores en la elaboración de su unidad pedagógica, facilitando así la integración curricular del PDLE. 
</t>
  </si>
  <si>
    <t xml:space="preserve">El PDLE se implementó a través de cinco acciones estratégicas centrales que, de manera articulada, permitieron alcanzar los objetivos del programa y adaptarse a las particularidades de cada contexto educativo. A continuación se describen estas acciones clave:
Sesiones lúdico-vivenciales y gradual
La metodología central de las sesiones del PDLE privilegiaron el aprendizaje experiencial sobre la transmisión pasiva de información. Cada una de las ocho sesiones del programa fue estructurada integrando múltiples estrategias didácticas que respondían a diferentes estilos de aprendizaje y permitían conectar con los estudiantes.
Estrategias de activación y conexión: Cada sesión iniciaba con dinámicas lúdicas y de movimiento diseñadas específicamente para captar el interés, generar un clima de confianza y predisponer al trabajo reflexivo posterior. Estas dinámicas incluían juegos de presentación, actividades de coordinación motriz en equipos y retos colaborativos que activaban tanto el cuerpo como las emociones. Para grupos con alta energía o conductas disruptivas (como cuarto de Mariscal Cáceres), estas dinámicas se realizaban en espacios abiertos (patios) durante 10-15 minutos, permitiendo canalizar la energía antes de ingresar al aula para el trabajo de mayor concentración. 
Uso de estrategias visuales: Se emplearon presentaciones con diapositivas visualmente atractivas, videos motivacionales (como testimonios de jóvenes becados), fichas con imágenes evocativas y organizadores gráficos (como el "Nevado Huascarán" o la "Flor de resiliencia") que facilitaban la comprensión de conceptos abstractos mediante metáforas visuales concretas. Estos recursos resultaron especialmente efectivos en el grupo de Llampa con nivel cognitivo promedio-bajo.
Uso de estrategias auditivas: Se integró música funcional en diferentes momentos de las sesiones: música relajante durante ejercicios de escritura introspectiva (como la "Carta al niño/a interior"), y música de fondo suave durante trabajos creativos. El uso estratégico y a pedido de los estudiantes contribuyó a crear espacios apropiados para cada tipo de actividad y facilitó que estudiantes con dificultades de expresión emocional pudieran conectar con su mundo interno.
Dinámicas colaborativas y de reflexión grupal: Se alternaron momentos de trabajo individual introspectivo con dinámicas de trabajo en equipos pequeños (3-4 personas) que favorecían el intercambio de ideas, la escucha activa entre pares y la construcción colectiva de conocimiento. Dinámicas como la "Torre de papel" no solo generaban experiencias emocionales compartidas, sino que permitían reflexionar grupalmente sobre diferentes estilos de afrontamiento ante la frustración y construir aprendizajes significativos a partir de la experiencia vivida.
Actividades de manualidades y expresión creativa: Se proporcionaron materiales diversos (cartulinas, hojas de colores, plumones, tijeras, goma, imágenes impresas, papel kraft) para que los estudiantes pudieran expresar sus ideas, emociones y proyectos de vida de manera tangible y personalizada. Las actividades de manualidades (construcción del mural de la tribu, decoración de cartas, elaboración de la flor de resiliencia, diseño del proyecto de vida) permitieron que estudiantes con dificultades para la expresión verbal o escrita pudieran integrarse. Estas actividades fueron particularmente valoradas y generaron alta participación en todos los grupos.
Contenido gradual y secuencial para la construcción del proyecto de vida: Las ocho sesiones del PDLE fueron diseñadas siguiendo una lógica de andamiaje progresivo que conducía a los estudiantes desde el autoconocimiento básico hasta la elaboración concreta de su proyecto de vida. Esta secuencia pedagógica intencional aseguraba que cada sesión proporcionara los cimientos conceptuales y emocionales necesarios para las siguientes, construyendo así un proceso coherente.
Autoevaluación al cierre del Módulo I: Tras completar las cuatro sesiones del módulo de autoconocimiento, y por tanto se la mitad del PDLE, se implementó la autoevaluación formativa en la que los estudiantes reflexionaron sobre sus aprendizajes personales identificando: ¿Qué descubrí sobre mí mismo/a en estas sesiones? ¿Qué me gustó más de las sesiones? ¿Por qué es importante conocerse a uno mismo?.
Esta autoevaluación intermedia proporcionó información valiosa sobre el nivel de apropiación de los contenidos y permitió ajustar estrategias para los módulos subsecuentes. Asimismo en grupos con pausas prolongadas (debido a cancelaciones externas) permitió hacer un recuento y reconexión de lo avanzado. Los testimonios recogidos evidenciaron que la mayoría de estudiantes había logrado identificar fortalezas personales que desconocía y se había dado un espacio de reflexión sobre sí mismos de manera más profunda en comparación con los espacios educativos tradicionales.
 Integración de tutores en el desarrollo de las sesiones
Se promovió la estrategia de integración de los tutores como co-facilitadores del proceso formativo, reconociendo que su presencia activa potenciaba el impacto de las sesiones y favorecía la sostenibilidad de los aprendizajes. Si bien se valoró toda participación de los tutores, esta se desarrolló de manera diferenciada.
Inicialmente previo a cada sesión, se compartió con los tutores un documento sintético que detallaba la sesión. Posteriormente se continuó con esta dinámica con los tutores que mostraban mayor interés. Asimismo se invitó explícitamente a los tutores a participar activamente durante el desarrollo de las sesiones, de este modo se puede distinguir en tres tipos de participación : 
Participación proactiva y co-facilitación sostenida: 	La participación de las tutoras Hilda Loyola, Janeth Mendoza y Teofilo Angeles en el IE Mariscal Cáceres, se caracterizó por un involucramiento continuo durante todo el proceso. Permanecieron presentes durante la totalidad de las sesiones, participaron en las dinámicas, motivando constantemente a sus estudiantes con frases de aliento y validación, y realizando preguntas de cierre cuidadosamente vinculadas a los temas abordados. En dos de los casos se implementó la práctica de solicitar que los estudiantes registraran reflexiones clave en sus cuadernos de tutoría y pegaran los productos elaborados, asegurando que el trabajo del PDLE quedara documentado como parte integral de su proceso educativo. En otros casos realizaban la introducción de la sesión siguiendo la temática de PDLE. Esto permitió enviar el mensaje de que estos contenidos eran parte integral de su proceso educativo formal, no una actividad aislada.
Participación media: Este perfil se caracterizó por una presencia física sostenida en el aula durante las sesiones, pero con un involucramiento limitado que se restringía principalmente a funciones de control disciplinario y motivación ocasional. Los tutores que evidenciaron este tipo de participación permanecían en el aula durante el desarrollo completo o mayoritario de las sesiones, lo que favorecía el orden y la atención de los estudiantes. Sin embargo, su rol se mantuvo mayormente pasivo y observador: se ubicaban en algún lugar del aula (generalmente al fondo o en un costado) desde donde monitoreaban el comportamiento del grupo, interviniendo principalmente cuando surgían situaciones de indisciplina que requerían llamadas de atención o redirección. Este tipo de participación se observó en algunos tutores de la IE 20850 Mariscal Cáceres y en los tutores de la IE 86567 San Juan de Pararín.
Participación intermitente y/o ausencia: Este perfil se caracterizó por una presencia irregular, fragmentada o completamente ausente durante el desarrollo de las sesiones del PDLE.  Un docente de la IE Mariscal Caceres asistió únicamente a los momentos iniciales de las sesiones (5-10 minutos), observó brevemente el inicio de las actividades y luego se retiró del aula, aprovechando ese tiempo para atender otras responsabilidades docentes. Esta intermitencia generaba discontinuidad, ya que no presenciaban los momentos más significativos de las sesiones, lo que limitaba su conocimiento sobre el proceso real que estaban experimentando sus estudiantes. En el caso de ausencia se presentó en la IE 20851 San Juan de Colquioc, donde la estructura multigrado y los horarios institucionales generaron una situación particular: al integrar estudiantes de tercero, cuarto y quinto en un mismo grupo de intervención, el horario acordado para las sesiones del PDLE no coincidió con los horarios regulares de tutoría de ninguno de los tutores responsables de estos grados. Esta incompatibilidad estructural resultó en que las ocho sesiones se desarrollaran completamente sin presencia de ningún tutor. Si bien al inicio se intentó que los tutores Sheyla Torres Villafane y Tito Grasa Chávez participaran, el ajuste de horario hacia el auditorio institucional consolidó la ausencia docente.
Coordinación constante y directa con tutores 
Se buscó establecer un vínculo cercano y de comunicación permanente con los docentes tutores de cada sección. Esta coordinación constante permitió mantener un flujo continuo de información sobre la dinámica de cada grupo y anticipar situaciones que pudieran afectar la implementación. Las coordinaciones se realizaron a través de múltiples canales: conversaciones presenciales antes y después de cada sesión, comunicación vía WhatsApp para confirmaciones y ajustes de última hora, y reuniones específicas cuando surgían situaciones particulares que requerían abordaje conjunto. 
Esta estrategia es clave principalmente porque fueron los tutores quienes comunicaban las cancelaciones de clases por actividades institucionales imprevistas (concursos, asambleas, celebraciones, salidas), permitiendo reagendar con la mayor anticipación posible. En la IE 20850 Mariscal Cáceres, donde las reprogramaciones fueron más frecuentes, esta comunicación resultó fundamental para negociar horarios alternativos de recuperación y mantener la continuidad del programa a pesar de los constantes cambios en la calendarización escolar. Algunos tutores facilitaron la realización de sesiones en horarios de tarde (fuera del horario asignado para tutoría) para compensar las cancelaciones, lo que requirió negociación tanto con ellos como con los estudiantes sobre la importancia de mantener la continuidad del programa.
Aplicación sistemática de encuestas de satisfacción
Al finalizar cada sesión, los estudiantes completaron una breve encuesta de satisfacción (aplicada de manera física o digital según disponibilidad) que evaluaba cuatro dimensiones mediante escala Likert de 1 a 5: ¿Cómo calificas la sesión?, ¿Consideras que la información fue útil?, ¿El facilitador explicó bien los temas?, ¿Te sentiste cómodo participando?. Adicionalmente, la encuesta incluía un espacio abierto para comentarios y sugerencias.
Esta estrategia de evaluación inmediata cumplió múltiples funciones: proporcionó retroalimentación en tiempo real que permitió realizar ajustes progresivos en la metodología (por ejemplo, identificar que ciertas dinámicas funcionaban mejor en espacios abiertos, o que ciertos términos requerían mayor explicación, o incorporar música en las sesiones); generó datos cuantitativos sobre el nivel de satisfacción que evidenciaron la buena recepción del programa (promedios generales entre 4.25 y 4.4 en las tres instituciones); y, quizás más importante, envió a los estudiantes el mensaje de que su opinión era valorada y tenía incidencia en el programa.
</t>
  </si>
  <si>
    <t xml:space="preserve">Coordinador de Tutoría y Orientación Educativa (TOE) de la IE 20850 Mariscal Cáceres
El coordinador de TOE Eyner Usua jugó un rol importante en la institucionalización del PDLE dentro del centro educativo. Su contribución más significativa fue impulsar la formalización del PDLE en las unidades didácticas de tutoría del cuarto bimestre. El coordinador hizo énfasis reiterado ante los tutores sobre la importancia de esta formalización, argumentando que al registrar el PDLE en la planificación oficial se enviaba un mensaje institucional claro sobre la valoración del trabajo socioemocional. Adicionalmente, facilitó la apertura de espacios estratégicos al dar acceso a la facilitadora para participar en las reuniones de colegiado con todos los tutores de secundaria, lo cual permitió presentar el programa directamente, responder dudas, disipar resistencias iniciales mediante diálogo directo, establecer canales de comunicación formal con cada tutor, y coordinar ajustes en tiempo real cuando surgían conflictos de horarios. Esta visión estratégica sobre la importancia de integrar formalmente el PDLE en las estructuras pedagógicas existentes, en lugar de mantenerlo como iniciativa aislada, fue crucial para para el compromiso que posteriormente evidenciaron varios tutores.
Profesora Hilda Loyola Mautino - Maestra Fortaleza, IE 20850 Mariscal Cáceres
La profesora Hilda se constituyó en la aliada más estratégica del PDLE en Mariscal Cáceres. Su participación se caracterizó por un involucramiento proactivo, sostenido que trascendió la mera presencia física en el aula. Su participación estratégica se manifestó de la siguiente manera: refuerzo pedagógico realizando preguntas de cierre vinculadas a los temas que ayudaban a consolidar aprendizajes; documentación sistemática solicitando que los estudiantes registraran reflexiones en cuadernos de tutoría y pegaran productos elaborados, enviando el mensaje de que este trabajo era parte integral de su formación. 
Profesora Janeth Mendoza - Maestra Fortaleza, IE 20850 Mariscal Cáceres
La profesora Janeth se configuró en una aliada estratégica del PDLE, demostrando un compromiso activo y sostenido que fortaleció significativamente el impacto del programa en su grupo. Su participación se caracterizó por involucramiento en las dinámicas de activación, motivación constante circulando entre equipos de trabajo, acercándose especialmente a estudiantes más tímidos con palabras de aliento y celebrando públicamente aportes significativos que fortalecían su autoconfianza. Asimismo, brindaba retroalimentación reflexiva a la facilitadora después de cada sesión compartiendo percepciones sobre la dinámica grupal, anotaba cuidadosamente las dinámicas realizadas en un cuaderno personal para poder replicarlas posteriormente, y había implementado la práctica sistemática de solicitar que los estudiantes registraran todos sus trabajos del PDLE en fólderes personales, enviando así el mensaje de que estos productos eran valiosos y merecían ser conservados como evidencia de su proceso de crecimiento. 
Director de la IE 20851 San Juan de Colquioc - Llampa
El director Carlos Guillen de Llampa desempeñó un rol fundamental como facilitador logístico y negociador asertivo, demostrando una apertura y flexibilidad esencial para la viabilidad del PDLE en el contexto particular de esta pequeña escuela. Su contribución se manifestó en la gestión de espacios y horarios multigrado, facilitando con cordialidad y negociación la construcción de un horario especial que permitiera reunir simultáneamente a estudiantes de tercero, cuarto y quinto grado, coordinando con todos los docentes involucrados, redistribuyendo horarios de clases, y autorizando el uso del auditorio como espacio exclusivo para las sesiones; la flexibilidad ante reprogramaciones, asumiendo un rol proactivo de búsqueda de soluciones alternativas cuando surgían conflictos con actividades imprevistas. Su presencia y respaldo institucional explícito enviaron un mensaje a los estudiantes sobre la importancia que la institución otorgaba a su desarrollo socioemocional.
Directora de la IE 86567 San Juan de Pararín - Rinconada
La directora Tania Robles de Pararín ejerció un rol relevante como mediadora estratégica y garante de la continuidad del programa frente a un contexto institucional caracterizado por algunos docentes con mayor resistencia a cambios en sus rutinas establecidas. Su liderazgo se manifestó en su capacidad para posicionarse como puente entre las necesidades del PDLE y las dinámicas institucionales existentes, asumiendo personalmente la responsabilidad de negociar y convencer cuando era necesario. Su participación estratégica incluyó principalmente la mediación ante resistencias docentes, asumiendo personalmente conversaciones de persuasión cuando tutores expresaban incomodidad ante cambios internos o cesión de horas, argumentando sobre la importancia del programa y apelando al profesionalismo de sus docentes, lo cual evitó que tensiones escalaran. Su rol fue relevante porque en contextos donde no existe este respaldo directivo explícito y disposición a mediar conflictos, los programas externos frecuentemente fracasan ante la primera dificultad. La directora entendió que garantizar la continuidad requería asumir un rol activo de gestión y negociación constante.
Tutores aliados del proceso
Un grupo significativo de tutores contribuyó al desarrollo del PDLE mediante su presencia constante en el aula que favorecía la disciplina y el orden durante las sesiones, elementos fundamentales para mantener un clima propicio para el trabajo reflexivo y la concentración, especialmente en grupos numerosos o con mayor tendencia a la disrupción. Estos tutores permanecían en el aula durante el desarrollo completo de las sesiones, monitoreando el comportamiento del grupo desde un rol principalmente observador e interviniendo cuando surgían situaciones de indisciplina que requerían redirección o de motivación para la realización de las actividades. Asimismo, su contribución se expresó cuando comunicaron las cancelaciones institucionales, así como cuando cedieron sus horas de clase para realizar sesiones de recuperación después de cancelaciones imprevistas, demostrando flexibilidad y comprensión sobre la importancia de mantener la continuidad del programa a pesar de las múltiples reprogramaciones que caracterizaron la implementación. Entre estos tutores destacan: profesora Noemí Arquiñigo (4to B, MAAC), profesor Teófilo Ángeles (3ro B, MAAC), profesor Maycol Espinoza (5to B, MAAC), profesor Marino Príncipe (5to, Pararín) y profesor Félix Mendoza (3ro, Pararín). Cada uno, desde su estilo particular y posibilidades según su carga docente, facilitó condiciones operativas básicas pero esenciales para que las sesiones pudieran desarrollarse efectivamente, contribuyendo así a la viabilidad logística del PDLE.
</t>
  </si>
  <si>
    <t xml:space="preserve">Para dar inicio al Programa de Liderazgo Estudiantil dirigido a fortalecer el liderazgo y las habilidades socioemocionales en los estudiantes de secundaria, se implementó una fase diagnóstica en las tres instituciones educativas participantes: San Agustín de Cajacay, Isabel Flores de Oliva de Santa Rosa y Luis Pardo Novoa de Raquia. Esta fase consistió en la aplicación de escalas diagnósticas y una encuesta de entrada, instrumentos  para medir el nivel base de desarrollo de competencias como el pensamiento crítico, la mentalidad de crecimiento y la agencia. Asimismo, el recojo de percepciones sobre la construcción del proyecto de vida.
Con esta línea base establecida, se dio paso al desarrollo de las primeras sesiones del programa, centradas en el módulo I de Autoconocimiento (4 sesiones), módulo II de Resiliencia (3 sesiones) y el módulo III de Proyecto de vida (2 sesiones). A través de talleres vivenciales, los estudiantes comenzaron un proceso de reflexión para identificar sus fortalezas, valores y emociones, para la construcción de su proyecto de vida y la toma de decisiones conscientes hacia el ejercicio de su liderazgo.
Logros: 
Se fortalecieron las Habilidades Socioemocionales de agencia, mentalidad de crecimiento y agencia mediante actividades vivenciales y reflexivas como "¿Quién soy en verdad?", "Un viaje a la infancia" y el "Reconocimiento de habilidades y fortalezas". Asimismo, se abordó la habilidad socioemocional “empatía” de manera transversal.
Los estudiantes interiorizaron conceptos de agencia, mentalidad de crecimiento y empatía, evidenciando una mayor capacidad para identificar y expresar sus valores, emociones y potencial personal, así como para reconocerlos en sus compañeros.
los estudiantes construyeron sus proyectos de vida.
Desafíos: 
Estudiantes con autoestima en construcción y con ideas de desvalorización y con dudas en el reconocimiento de sus habilidades y fortalezas.
Algunos estudiantes con actitudes de desánimo, con uso excesivo de celulares y distraídos en los espacios desarrollados.
Estudiantes que aún no tienen claridad vocacional, con incertidumbre en la planificación de sus proyectos de vida.
Oportunidad de mejora:
Promover espacios de contacto directo con centros de formación (institutos pedagógicos, tecnológicos y universidades) y ofrecer información accesible sobre oportunidades formativas contextualizadas.
Proponer  estrategias para involucrar a las familias en el desarrollo del PDLE.
</t>
  </si>
  <si>
    <t xml:space="preserve">Se emplearon dinámicas participativas  para crear un ambiente de confianza y aprendizaje activo. Estas actividades permitieron la experimentación directa de conceptos, como la empatía y el trabajo en equipo, permitiendo una internalización más profunda y significativa.
Se ejecutaron ejercicios vivenciales de introspección y diálogo grupal, los estudiantes exploraron su identidad, valores e historia personal. Técnicas como "Un viaje a la infancia" y "¿Quién soy en verdad?" fueron centrales para el desarrollo del autoconocimiento y la construcción de narrativas personales.
Mediante la escritura creativa (carta a mi yo del futuro), la representación simbólica o el relato oral (LIVE), los jóvenes elaboraron y compartieron sus propias historias. Esta práctica fortaleció su capacidad de pensamiento crítico y agencia, y también fomentó la mentalidad de crecimiento al recordar experiencias pasadas como fuentes de aprendizaje y resiliencia.
</t>
  </si>
  <si>
    <t xml:space="preserve">Los directivos a través del convenio con Efecto Ancash, gestionaron y autorizaron las coordinaciones para el desarrollo de las sesiones del Programa de Liderazgo de Estudiantes  en los horarios oficiales de tutoría de 3°, 4° y 5° grado. Este apoyo fue fundamental para garantizar la participación estable de los estudiantes y la legitimidad del proyecto dentro de la estructura escolar.
La Unidad de Gestión Territorial (UGT), su rol fue la gestión y organización de las ferias comunitarias en las instituciones educativas Luis Pardo Novoa de Raquia y San Agustín de Cajacay. Esta gestión permitió convocar a autoridades locales y brindar un espacio de visibilidad donde los estudiantes pudieron presentar sus aprendizajes, interactuando directamente con representantes de la comunidad y validando el trabajo realizado.
Las autoridades y líderes comunitarios fueron invitados por la UGT en coordinación con los directivos de las instituciones educativas, para participar en las ferias comunitarias como público. Su presencia e interacción con los estudiantes durante las exposiciones e interacciones otorgaron reconocimiento social a los avances de los estudiantes, fortaleciendo el vínculo entre la escuela y la comunidad, y ampliando la perspectiva de los estudiantes sobre su entorno.
Los docentes tutores fueron los implementadores directos y el nexo constante. Su involucramiento activo en las coordinaciones y en el desarrollo de las sesiones fue valioso. En el caso de la feria de la IE Isabel Flores de Oliva en el centro poblado de Santa Rosa, su liderazgo y participación junto a los estudiantes demostraron una apropiación del proceso, supliendo en ese contexto la menor presencia de otras autoridades.
La participación de las familias fue limitada y poco constante, reflejando el desafío persistente de convocatoria familiar. Su rol fue principalmente de recepción de información, sin alcanzar un nivel de corresponsabilidad activa en las actividades, lo que señala un desafío para futuras intervenciones del PDLE.
La articulación con la UGEL Bolognesi, permitiendo la ejecución fluida y el reconocimiento oficial del programa, y se contó con la presencia de los especialistas en la feria  comunitaria de la IE San Agustín de Cajacay, quienes han reconocido el aporte valioso de Efecto áncash en las IIEE.
</t>
  </si>
  <si>
    <t xml:space="preserve">El Programa de Liderazgo Estudiantil (PDLE) se implementó en seis aulas de las II.EE. Carlos Izaguirre, 86350 Machac y 86468-1 Nuevo Progreso, en coordinación con el horario de Tutoría y con el apoyo de directivos y la participación activa de la totalidad de los seis tutores, buscando fortalecer agencia, mentalidad de crecimiento y pensamiento crítico tras una evaluación diagnóstica inicial. El proceso modular (Autoconocimiento en 4 sesiones, Resiliencia en 3, y Proyecto de Vida en 2) buscó transformar la inicial indecisión vocacional y conductas desafiantes en decisiones conscientes, logrando una fuerte conexión con los intereses profesionales de los jóvenes.
Logros: 
Se logró el fortalecimiento efectivo de habilidades socioemocionales clave como la agencia, el pensamiento crítico y la mentalidad de crecimiento. Esto fue posible gracias a la implementación de estrategias lúdicas y vivenciales de alto impacto, como las sesiones tituladas "Quién soy en verdad", "Un viaje a la infancia" y "Reconocimiento de habilidades socioemocionales", que facilitaron una participación profunda y reflexiva por parte de los estudiantes.
Los estudiantes lograron interiorizar y conceptualizar los principios de agencia, pensamiento crítico y mentalidad de crecimiento. Esto se evidenció en una notable mejoría en su capacidad para identificar sus propios valores, emociones y fortalezas (autoconocimiento), así como en el desarrollo de la empatía necesaria para reconocer estas cualidades en sus compañeros, sentando las bases para un liderazgo relacional positivo.
Desafíos:
Uso desmedido de celulares y distraídos con desánimo.
Estudiantes con autoestima en construcción y desvalorización
</t>
  </si>
  <si>
    <t xml:space="preserve">Se realizaron talleres vivenciales y dinámicas con metodología didáctica para que el estudiante vivencie y construya conceptos de las habilidades como empatía, pensamiento crítico y mentalidad de crecimiento.
Espacio de escucha donde los estudiantes pudieron expresar de manera oral sus historias, sus dudas y las emociones que deseaban expresar.
Espacios de escritura creativa donde los estudiantes escribieron una carta a su yo de la infancia y luego a su yo del futuro en el cual expresaron lo que anhelaban.
</t>
  </si>
  <si>
    <t xml:space="preserve">Coordinaciones internas con UGT para el desarrollo y cierre de sesiones del PDLE, con el cual se coordinaron los horarios y las metodología a trabajar.
Coordinaciones con los directores y tutores de las II.EE con los cuales se han realizado la coordinación de horarios y cantidad de sesiones que se iban a realizar y las aulas focalizadas con las que se desarrollaría el PDLE.
</t>
  </si>
  <si>
    <t>Ubicación</t>
  </si>
  <si>
    <t>Desafíos encontrados</t>
  </si>
  <si>
    <t>Acciones para mitigar y contrarrestar los desafíos</t>
  </si>
  <si>
    <t>Lecciones aprendidas: qué necesita continuidad (replicación), qué necesita ajuste, qué necesita discontinuidad</t>
  </si>
  <si>
    <t>Facilitado/a</t>
  </si>
  <si>
    <t>UGT: Valle Fortaleza
Provincia: BOLOGNESI
Distrito: COLQUIOC
Centro Poblado: CHASQUITAMBO</t>
  </si>
  <si>
    <t>Actividades escolares imprevistas y continuas en la IE: Múltiples celebraciones, concursos, pasacalles, reuniones de docentes y eventos institucionales imprevistos generaron constantes reprogramaciones de las sesiones de todos los grupos principalmente 5°A y 4°A.
Cambio completo de horarios institucionales: En octubre se modificaron todos los horarios del nivel secundaria sin consulta previa, afectando directamente los espacios acordados para el PDLE, incluyendo cruces de horarios de tutorías entre grados y con otros centro educativos.
Resistencia de algunos docentes al programa: Algunos tutores mostraron resistencia inicial derivada de experiencias previas negativas con el PDLE o malentendidos con la ONG.
Conductas disruptivas en 4° grado: El grupo original de cuarto presentaba alto nivel de indisciplina, agresiones verbales y físicas, y desmotivación generalizada que dificultaba el desarrollo de sesiones reflexivas.
Desdoblamiento tardío del 4° y 3° grado: La división del grupo en dos secciones ocurrió a mitad del programa, requiriendo integración de nuevos tutores sin inducción previa.</t>
  </si>
  <si>
    <t>Comunicación permanente con tutores: Se estableció contacto constante vía WhatsApp y presencial para conocer anticipadamente cancelaciones y negociar recuperaciones. Además se buscó construir un vínculo cercano de colaboración mutua.
Negociación de horarios alternativos: Se coordinó con tutores y otros docentes la cesión de horas de clase para recuperar sesiones, incluyendo horarios de tarde fuera del horario escolar regular.
Renegociación completa de calendarización: Tras el cambio de horarios en octubre, se sostuvieron reuniones individuales con cada uno de los seis tutores para reagendar todas las sesiones restantes.
Sensibilización docente continua: Se compartieron anticipadamente planes de sesión, se invitó a tutores a participar desde su iniciativa y libertad, y se reconoció públicamente su apoyo en reuniones con directivos y en el aula.
Dinámicas de activación en espacios abiertos: Para el grupo de cuarto, se realizaron dinámicas iniciales en el patio (10-15 minutos) antes del trabajo reflexivo en aula, canalizando energía.
Apoyo de tutora Janet Mendoza: Se contó con presencia activa de la tutora en las primeras sesiones con 4° para contener conductas disruptivas.
Inducción a nuevos tutores: Se realizó inducción breve a los tutores de 4°B y 3°B sobre la lógica secuencial del programa tras el desdoblamiento.</t>
  </si>
  <si>
    <t xml:space="preserve">CONTINUIDAD (replicar):
- Estrategia de comunicación permanente con tutores como aliados clave
- Entrega anticipada de planes de sesión a tutores comprometidos
- Dinámicas de activación física previas al trabajo reflexivo para grupos con alta energía
- Uso de materiales diversos y actividades de manualidades que favorecen la expresión creativa
- Integración activa de tutores como co-facilitadores (modelo prof. Hilda Loyola o Janet Mendoza)
- Metodología vivencial y lúdica que captura interés adolescente
AJUSTE (mejorar):
- Negociar desde el inicio con dirección la protección formal de horarios del PDLE en calendario institucional
- Ampliar fase de sensibilización docente sobre importancia del PDLE antes del inicio
- Prever horarios alternativos de recuperación desde la planificación inicial
- Incorporar sesiones más breves (45-50 min) adaptadas a dinámica escolar real que de flexibilidad frente a imprevistos.
- Desarrollar estrategias diferenciadas más específicas para grupos con conductas disruptivas severas o con habilidades educativas especiales.
DISCONTINUIDAD (no replicar):
- Iniciar programa sin acuerdos formales con dirección sobre protección de horarios
- Depender exclusivamente de horarios de tutoría que son los más vulnerables a cancelaciones
- Asumir que todos los tutores se involucrarán proactivamente sin estrategias de motivación específicas
</t>
  </si>
  <si>
    <t>UGT: Valle Fortaleza
Provincia: BOLOGNESI
Distrito: COLQUIOC
Centro Poblado: LLAMPA</t>
  </si>
  <si>
    <t>Acceso limitado por restauración de carretera: Durante octubre-noviembre, los trabajos de mejoramiento vial restringieron el tránsito a horarios específicos, limitando la movilidad hacia y desde Llampa. El camino en trocha y angosto dificultaba el acceso regular.
Dificultades para coordinar horarios únicos para sesión multigrado: Al integrar estudiantes de tercero, cuarto y quinto en un mismo grupo de intervención, no coincidía con los horarios de tutoría de ninguno de los tutores responsables, generando incompatibilidad estructural.
Ausencia total de tutores durante las sesiones: Las ocho sesiones se desarrollaron sin presencia de ningún tutor debido a la incompatibilidad de horarios, limitando la continuidad y seguimiento institucional del programa.
Nivel cognitivo promedio-bajo del grupo: Requirió adaptaciones metodológicas constantes, simplificación de lenguaje y acompañamiento individualizado para comprensión de consignas.
Estudiante con dificultades de socialización: Un adolescente de tercero presentaba marcadas dificultades para relacionarse socialmente y pánico a la exposición pública, demandando atención diferenciada.</t>
  </si>
  <si>
    <t>Acompañamiento individualizado y sin presiones: Se brindó apoyo cercano durante actividades escritas, proporcionando preguntas guía y validación constante.
Simplificación de lenguaje y uso de ejemplos visuales: Se adaptó el vocabulario, se utilizaron metáforas concretas y organizadores gráficos que facilitaban comprensión de conceptos abstractos.
Desarrollo autónomo de sesiones: La facilitadora asumió completamente el desarrollo de la sesión del grupo multigrado (8 estudiantes) sin apoyo docente presente.
Ajuste inmediato de horario y espacio: Tras la primera sesión fallida (2 participantes), se negoció con el director realizar las sesiones en horario de clases regulares utilizando el auditorio institucional, logrando mayor asistencia.
Coordinación de traslados en horarios permitidos: Se planificaron las visitas considerando las restricciones viales, coordinando salidas tempranas para llegar en horarios habilitados</t>
  </si>
  <si>
    <t xml:space="preserve">CONTINUIDAD (replicar):
- Flexibilidad para ajustar horarios y espacios según respuesta inicial de estudiantes
- Adaptación metodológica a niveles cognitivos diversos mediante ejemplos concretos y visuales
-Acompañamiento individualizado, valorando los pequeños avances sin presionar exposición pública forzada del estudiante.
AJUSTE (mejorar):
- Realizar diagnóstico previo de condiciones de acceso y planificar logística de traslados anticipadamente
- Negociar desde el inicio horarios en clases regulares vs. extracurriculares para asegurar participación
- Establecer mecanismos de seguimiento con tutores aunque no estén presentes (reuniones semanales de reporte)
- Solicitar que tutores den continuidad a temas en sus horas regulares de tutoría
- Simplificar aún más los instrumentos de evaluación para contextos con nivel cognitivo bajo
DISCONTINUIDAD (no replicar):
- Implementar programa sin presencia de al menos un tutor de referencia que dé continuidad institucional
- Asumir que estudiantes asistirán a actividades en horarios extracurriculares sin incentivos claros
- Aplicar instrumentos extensos sin adaptación a capacidades del grupo
</t>
  </si>
  <si>
    <t>UGT: Valle Fortaleza
Provincia: RECUAY
Distrito: PARARIN
Centro Poblado: RINCONADA</t>
  </si>
  <si>
    <t xml:space="preserve">Demanda docente de atención psicológica individual: Los tutores demandaban constantemente atención psicológica para sus estudiantes, evidenciando limitaciones en estrategias pedagógicas para abordar necesidades socioemocionales desde el aula.
Apatía y desmotivación severa: Un sector importante de estudiantes, especialmente varones de cuarto, mostraba desinterés hacia la asistencia a clases y hacia la reflexión sobre su futuro, dificultando su involucramiento.
Rigidez docente: Algunos docentes mostraban poca flexibilidad ante cambios en la planificación establecida, requiriendo intervención de la directora para ajustes.
Estereotipos de género marcados: Especialmente entre algunos varones de quinto y cuarto, condicionaban relaciones y asunción de roles, con expectativas diferenciadas sobre trayectorias educativas y laborales por género.
</t>
  </si>
  <si>
    <t>Visibilización de brechas de género: Se trabajó explícitamente cuestionando estereotipos, mostrando modelos diversos.
Coordinación con directora para ajustes: Se mantuvo comunicación fluida con la directora quien facilitó activamente la reagendación de sesiones cuando surgían imprevistos institucionales externos.
Trabajo personalizado con estudiantes apáticos: Se comenzó desde sueños personales inmediatos (no solo profesionales) para conectar con estudiantes desmotivados, concluyendo algunos que carreras técnicas serían mejor opción.
Complemento con orientación individual: A solicitud de tutores, se ofreció espacios de orientación y consejería individual para estudiantes referidos o que lo solicitaban voluntariamente, sin embargo durante el periodo de implementación no se</t>
  </si>
  <si>
    <t xml:space="preserve">CONTINUIDAD (replicar):
- Comunicación fluida con la directora que facilita los ajustes necesarios
- Trabajo personalizado desde intereses inmediatos para conectar con estudiantes apáticos
- Flexibilidad para ofrecer espacios de orientación individual complementarios
- Cuestionamiento activo de estereotipos de género en actividades y ejemplos
AJUSTE (mejorar):
- Establecer desde el inicio protocolo de referencia a servicios especializados (atención psicológica, tratamiento de adicciones) para casos que exceden alcance del PDLE
- Incorporar sesión específica sobre factores de riesgo (consumo de sustancias) y toma de decisiones saludables, respondiendo al presunto consumo de drogas en 4to grado
- Desarrollar talleres paralelos con tutores sobre estrategias pedagógicas para motivación y manejo de apatía desde el aula
DISCONTINUIDAD (no replicar):
- Implementar sin articulación con servicios de salud mental o protección cuando se identifican casos críticos
- Trabajar orientación vocacional sin abordar estereotipos de género que limitan opciones
</t>
  </si>
  <si>
    <t>UGT: Valle Fortaleza
Provincia: BOLOGNESI
Distrito: CAJACAY
Centro Poblado: CAJACAY</t>
  </si>
  <si>
    <t>Se identificó una resistencia inicial a la participación activa en las sesiones programadas. 
Un 60% de los estudiantes logró diseñar y estructurar completamente su proyecto de vida, definiendo su visión, metas y recursos clave.
Un 40% de los estudiantes construyó aproximadamente la mitad de la estructura de su proyecto, avanzando en la definición de objetivos pero requiriendo mayor profundización en la fase de planificación operativa</t>
  </si>
  <si>
    <t>Para contrarrestar esto, se implementaron estrategias de seguimiento personalizado y flexibilidad en los canales de comunicación, logrando una participación efectiva y progresiva.
Se fortaleció la capacidad de resiliencia en los participantes, quienes ahora enfocan sus desafíos no como barreras insuperables, sino como contextos desde los cuales construir.</t>
  </si>
  <si>
    <t>Constante contextualización de acuerdo a la población beneficiaria.</t>
  </si>
  <si>
    <t>UGT: Valle Fortaleza
Provincia: BOLOGNESI
Distrito: CAJACAY
Centro Poblado: SANTA ROSA</t>
  </si>
  <si>
    <t>Un 30% de los estudiantes identificó de manera explícita que sus oportunidades de estudio superior se ven severamente limitadas por factores económicos.
Un número considerable de estudiantes no cumple con los requisitos académicos mínimos exigidos por programas como Beca 18. Esto revela una problemática estructural previa, posibles deficiencias en la preparación académica o en la orientación sobre los requisitos.</t>
  </si>
  <si>
    <t>Se superaron desafíos de participación y se logró un avance significativo en la construcción de proyectos de vida, pero los resultados señalan la oportunidad de robustecer el componente de planificación para fortalecer el aspecto académico de los estudiantes.</t>
  </si>
  <si>
    <t>Esto plantea la necesidad de que futuras intervenciones no solo trabajar en la construcción del proyecto de vida, sino también en el fortalecimiento de las capacidades académicas y en la gestión de información y alternativas de financiamiento accesibles, de modo que el proyecto no se quede en un documento, sino que cuente con una vía realista de ejecución.</t>
  </si>
  <si>
    <t>UGT: Valle Fortaleza
Provincia: BOLOGNESI
Distrito: ANTONIO RAYMONDI
Centro Poblado: RAQUIA</t>
  </si>
  <si>
    <t>Existe el riesgo de que la sobrecarga de responsabilidades (estudio, trabajo y aporte familiar) derive en agotamiento físico y académico, o en la postergación indefinida de sus metas educativas superiores.</t>
  </si>
  <si>
    <t>Se ha fortalecido la habilidad de resiliencia, así como la motivación, permanente en un contexto que no provee las condiciones mínimas económicas.
En diálogo con el directivo de la IE se encontró que han postulado 4 estudiantes a la beca 18, a partir de lo hallado incrementar el número de postulantes.</t>
  </si>
  <si>
    <t>Aprovechar el esfuerzo y el talento de los estudiantes para acompañarlos en el proceso de acceso a becas. 
Implementar un programa de nivelación académica temprana (desde 3ro o 4to de secundaria) focalizado en las áreas evaluadas por la Beca 18.</t>
  </si>
  <si>
    <t>UGT: San Marcos
Provincia: HUARI
Distrito: CHAVIN DE HUANTAR
Centro Poblado: NUEVO PROGRESO</t>
  </si>
  <si>
    <t>Los estudiantes al inicio presentaron una resistencia a la participación en las sesiones programadas. 
Un 70% de los estudiantes logró diseñar y estructurar completamente su proyecto de vida, definiendo su visión, metas y recursos disponibles.
Un 30% de los estudiantes construyó aproximadamente una parte de la estructura de su proyecto.</t>
  </si>
  <si>
    <t>Se realizó el seguimiento personal mejorando la comunicación, logrando una participación progresiva.
Los estudiantes fortalecieron la capacidad para que los problemas no sean insuperables sino que puedan con la práctica de la resiliencia.
En diálogo con el directivo de la IE se encontró que han postulado 2 estudiantes a la beca 18, a partir de lo hallado incrementar el número de postulantes.</t>
  </si>
  <si>
    <t>UGT: San Marcos
Provincia: HUARI
Distrito: CHAVIN DE HUANTAR
Centro Poblado: CHAVIN DE HUANTAR</t>
  </si>
  <si>
    <t>Se ha identificado que los estudiantes de estudio superior se ven limitadas por factores económicos.
Un número considerable de estudiantes no cumple con los requisitos académicos mínimos exigidos por programas como Beca 18. Esto revela una problemática estructural previa, posibles deficiencias en la preparación académica o en la orientación sobre los requisitos.</t>
  </si>
  <si>
    <t>Se superaron desafíos de participación y se logró la construcción de los proyectos de vida, los resultados señalan la oportunidad de robustecer la planificación para fortalecer el aspecto académico de los estudiantes.</t>
  </si>
  <si>
    <t>Se presenta la necesidad de que futuras intervenciones no solo trabajar en la construcción del proyecto de vida, sino también en el fortalecimiento de las capacidades académicas.</t>
  </si>
  <si>
    <t>UGT: San Marcos
Provincia: HUARI
Distrito: CHAVIN DE HUANTAR
Centro Poblado: MACHAC</t>
  </si>
  <si>
    <t>Se ha identificado que los estudiantes de estudio superior se ven limitadas por factores económicos.</t>
  </si>
  <si>
    <t>Se ha fortalecido la habilidad de resiliencia, así como la motivación, permanente en un contexto que no provee las condiciones.</t>
  </si>
  <si>
    <t>Aprovechar el esfuerzo y el talento de los estudiantes para acompañarlos en el proceso de acceso a becas.</t>
  </si>
  <si>
    <t>Sesiones programadas</t>
  </si>
  <si>
    <t>Sesiones ejecutadas</t>
  </si>
  <si>
    <t>%Avance</t>
  </si>
  <si>
    <t>Comentarios</t>
  </si>
  <si>
    <t>Inicialmente se había programado 8 sesiones PDLE para cuarto de secundaria, sin embargo tras el desdoblamiento se ejecutaron 13 sesiones</t>
  </si>
  <si>
    <t>Se planificaron 9 sesiones y se ejecutaron las 9, sin embargo, se evidenció constante inasistencia de algunos estudiantes que no han tenido continuidad en el PDLE.</t>
  </si>
  <si>
    <t>Se completó el 100% de sesiones programadas y ejecutadas, la asistencia fue permanente y solo se tuvo un 2% de inasistencias por motivos personales de los estudiantes.</t>
  </si>
  <si>
    <t>Se ha ejecutado el 100% de las sesiones programadas y ejecutadas. Los estudiantes han demostrado compromiso durante el desarrollo de las sesiones así como sus tutores que dieron soporte en toda la ejecución del PDLE.</t>
  </si>
  <si>
    <t>Programado</t>
  </si>
  <si>
    <t>Ejecutado</t>
  </si>
  <si>
    <t>% Logro</t>
  </si>
  <si>
    <t>Resultados cuantitativos</t>
  </si>
  <si>
    <t>Resultados cualitativos</t>
  </si>
  <si>
    <t>En cuanto a los resultados de la Escala de habilidades socioemocionales evaluadas, se observa lo siguiente:
En Agencia, el nivel alto disminuyó levemente de 36.5% a 32.2%, mientras que el nivel medio aumentó de 61.5% a 67.8% y el nivel bajo se eliminó completamente (de 1.9% a 0%), sugiriendo que los estudiantes desarrollaron mayor autocrítica en el reconocimiento de sus capacidades de tomar decisiones y planificar acciones, transitando de un nivel bajo hacia una capacidad intermedia más consolidada. En Pensamiento Crítico, el nivel alto también descendió de 47.1% a 41.4%, concentrándose más en el nivel medio que pasó de 47.1% a 51.7%. Contrariamente, la Mentalidad de Crecimiento mostró un fortalecimiento: la categoría "Fuerte mentalidad de crecimiento" aumentó de 18.3% a 27.6%, mientras que "Mentalidad de crecimiento con algunas ideas fijas" disminuyó de 71.2% a 63.2%, evidenciando que más estudiantes superaron creencias limitantes y desarrollaron mayor confianza en su capacidad de mejora mediante el esfuerzo.
Estas variaciones pueden explicarse por: (1) la diferencia en el tamaño muestral entre cortes (n=104 vs n=87), sugiriendo que algunos estudiantes con niveles más altos no participaron en la evaluación final; (2) un proceso de autocrítica más desarrollado donde los estudiantes reconocen con mayor precisión sus áreas de mejora; (3) el contexto de fin de año escolar y la actitud de volver a realizar la misma evaluación extensa.
No obstante, lo más relevante es que el fortalecimiento de la mentalidad de crecimiento resulta fundamental para el 68.13% de estudiantes que ahora se encuentra en los niveles más altos de construcción de proyecto de vida, ya que necesitarán mantener esa convicción de que pueden seguir mejorando para perseverar frente a los desafíos que enfrentarán en su camino hacia la educación superior, especialmente en contextos rurales donde el acceso a oportunidades educativas requiere mayor esfuerzo y determinación.</t>
  </si>
  <si>
    <t>En la Encuesta de proyecto de vida de salida, se evidencia una evolución cualitativa significativa en las respuestas. Las narrativas ahora muestran mayor especificidad y conexión con valores personales y familiares ('ser veterinaria porque mi gato estaba mal y no sabía ayudarlo', 'ser enfermera, estudiaré en la Universidad César Vallejo porque me inspiró ayudar a mis padres cuando se enfermaron y no hubo atención en la posta', 'ser abogada porque quiero ayudar a personas que necesitan, me inspira que cuando mis padres se metieron en problema no había nadie que los ayude'), evidenciando un proceso de reflexión más profundo sobre sus elecciones vocacionales y el sentido personal de sus metas. 
Así, el nivel ausente disminuyó drásticamente de 12.24% a 1.10%. El nivel inicial también descendió significativamente de 44.90% a 6.59%, representando la mayor reducción. El nivel emergente disminuyó de 37.76% a 24.18%. Por el contrario, el nivel intermedio experimentó el crecimiento más notable, pasando de 5.10% a 59.34%, convirtiéndose en el nivel predominante. Apareció por primera vez el nivel avanzado con 8.79% de estudiantes que ahora articulan proyectos de vida que incluyen institución educativa específica, motivación anclada en experiencias significativas, propósito de retribución familiar y comunitaria, y primeros pasos concretos hacia la materialización de sus metas.
Esta redistribución evidencia que más de dos tercios de los estudiantes (68.13%) ahora se encuentran en los niveles más altos de construcción de proyecto de vida (niveles 3 y 4), en contraste con solo el 5.10% al inicio del programa.
Por ejemplo, una estudiante que inicialmente mencionaba 'quiero ser una profesional reconocida y millonaria' ahora expresa 'ser veterinaria porque cuando era niña mi gato estaba mal y no sabía cómo ayudarlo, lo que me dio tristeza. Quiero ayudar a mi familia'.
Estas respuestas reflejan un proceso de reflexión más profundo donde los estudiantes han comenzado a vincular sus aspiraciones con experiencias personales significativas, valores familiares y propósitos de vida más elaborados.</t>
  </si>
  <si>
    <t>En cuanto a las habilidades socioemocionales evaluadas, se observa lo siguiente, considerando que el tamaño muestral extremadamente reducido (n=8) implica que cada estudiante representa el 12.5% de la muestra: 
En Agencia, los niveles se mantuvieron notablemente estables con 87.5% en nivel alto tanto al inicio como al final, evidenciando que este grupo ya contaba con capacidades sólidas de autodeterminación y planificación, y el PDLE les permitió canalizar mejor esa agencia hacia proyectos de vida más articulados. En Pensamiento Crítico, el nivel alto disminuyó de 87.5% a 75.0% (equivalente a 1 estudiante), aunque el 75% del grupo mantiene un nivel alto que supera ampliamente a las otras instituciones. En Mentalidad de Crecimiento, la categoría "Fuerte mentalidad de crecimiento" disminuyó de 25.0% a 12.5%, mientras que "Mentalidad de crecimiento con algunas ideas fijas" aumentó de 75.0% a 87.5%, reflejando mayor autocrítica donde los estudiantes reconocen con mayor precisión las situaciones específicas en las que aún se activan ideas limitantes, sin que esto implique un retroceso en su disposición general hacia el aprendizaje.
Lo relevante es que ningún estudiante se ubicó en categorías bajas en ninguna de las tres habilidades en ninguno de los dos cortes, y estas capacidades socioemocionales sólidas se reflejan directamente en la calidad excepcional de sus proyectos de vida, donde el 87.50% ahora se encuentra en los niveles más altos de construcción vocacional, articulando respuestas que integran institución específica (UNMSM, UCV), motivación altruista, visión de largo plazo y retribución familiar, demostrando que este grupo ha desarrollado tanto las habilidades socioemocionales como la madurez vocacional necesarias para alcanzar metas ambiciosas en contextos rurales que requieren determinación excepcional.</t>
  </si>
  <si>
    <t>En la encuesta de proyecto de vida de salida, se observa la cambios más notables entre las tres instituciones evaluadas. Las respuestas ahora integran múltiples dimensiones de manera coherente y reflexiva: institución educativa específica, motivación, visión de largo plazo, retribución familiar y conciencia de estrategias concretas ('ser ingeniero civil y estudiar en la UCV porque quiero construir una casa para mis padres o liderar una construcción en mi comunidad', 'ser psicóloga de la UNMSM porque quiero ayudar a las personas que busquen mi apoyo, aportaré a las personas con problemas mentales o emocionales').
El nivel inicial desapareció completamente, lo que en un principio representaba el 100%, evidenciando que ningún estudiante permaneció en ese nivel básico. El nivel emergente alcanzó 12.50%, el nivel intermedio logró 75.00% (convirtiéndose en el nivel predominante), y apareció por primera vez el nivel avanzado con 12.50% de estudiantes. Esta redistribución evidencia que el 87.50% de los estudiantes ahora se encuentran en los niveles más altos de construcción de proyecto de vida (niveles 3 y 4), cuando al inicio del programa ninguno se encontraba en estos niveles. 
Por ejemplo, una estudiante pasó de 'quiero estudiar una maestría, superarme en el ámbito estudiantil' con motivación vaga a 'ser psicóloga de la UNMSM porque quiero ayudar, aportaré a las personas con problemas mentales o emocionales'. El caso más representativo es quien evolucionó de 'quiero trabajar y estudiar para ser alguien mejor' a 'ser ingeniero civil y estudiar en la UCV porque quiero construir una casa para mis padres o liderar una construcción en mi comunidad'. 
Estas respuestas reflejan el nivel más alto de madurez vocacional alcanzado, donde los estudiantes no solo especifican qué carrera estudiarán y dónde, sino que articulan un propósito claro vinculado a sus valores, experiencias significativas, retribución familiar, conciencia de sus habilidades, y una visión estratégica que incluye pasos concretos y proyección a mediano plazo.</t>
  </si>
  <si>
    <t>En cuanto a las habilidades socioemocionales evaluadas, se observa lo siguiente: 
En Agencia, el nivel alto aumentó significativamente de 23.5% a 33.3%, indicando que más estudiantes desarrollaron capacidad de tomar decisiones activas y planificar acciones concretas hacia sus metas, aunque también apareció un 6.7% en nivel bajo (antes 0%), lo cual puede explicarse por diversos factores. En Pensamiento Crítico, el nivel alto se mantuvo relativamente estable (38.2% a 36.7%), pero el nivel bajo aumentó de 2.9% a 10.0%. En Mentalidad de Crecimiento, se observó estabilidad notable con variaciones mínimas: "Fuerte mentalidad de crecimiento" de 20.6% a 20.0%, "Mentalidad de crecimiento con algunas ideas fijas" de 67.6% a 66.7%, y "Mentalidad fija con algunas ideas de crecimiento" de 11.8% a 13.3%, manteniendo aproximadamente dos tercios del grupo con disposición general hacia el aprendizaje.
Esta polarización, dado el tamaño muestral reducido (n=30-34), debe interpretarse considerando que la variación de 2-3 estudiantes genera cambios porcentuales significativos. 
No obstante, el análisis cualitativo de las respuestas de proyecto de vida evidencia un progreso consistente, donde el 74.19% ahora se encuentra en los niveles más altos de construcción vocacional, incorporando sentido de propósito comunitario significativamente desarrollado ("cuidar a mi familia y ganar copas para mi pueblo", "poner seguridad en mi comunidad", "ayudar con infraestructura resistente a desastres").</t>
  </si>
  <si>
    <t>En la encuesta de proyecto de vida de salida, se evidencia una transformación en la articulación de las aspiraciones. Las respuestas ahora incorporan un sentido de propósito comunitario y familiar significativamente más desarrollado ('ser futbolista para cuidar a mi familia y ganar copas para mi pueblo', 'ser ingeniero y mi meta es poner seguridad en mi comunidad', 'ser arquitecta porque quiero ayudar a mi comunidad con infraestructura física resistente a los desastres', 'ser profesora porque quiero ayudar a los niños, cada niño es como una plantita que necesita ayuda para crecer. Quiero ayudar a mi comunidad poniendo escuelas gratis para quienes no tengan economía'), demostrando que los estudiantes han logrado conectar sus aspiraciones personales con el bienestar colectivo y el desarrollo local. 
Así, el nivel ausente disminuyó significativamente de 20.59% a 6.45%. El nivel inicial también descendió drásticamente de 32.35% a 3.23%, representando una reducción muy importante. El nivel emergente disminuyó de 41.18% a 16.13%. Por el contrario, el nivel intermedio experimentó el crecimiento más espectacular, pasando de 5.88% a 54.84%, convirtiéndose en el nivel predominante. Apareció por primera vez el nivel avanzado con 19.35% de estudiantes. 
Esta redistribución evidencia que más de tres cuartos de los estudiantes (74.19%) ahora se encuentran en los niveles más altos de construcción de proyecto de vida (niveles 3 y 4), en contraste con solo el 5.88% al inicio del programa.
Por ejemplo, una estudiante que inicialmente expresaba 'estudiar en la universidad para tener una carrera' ahora articula 'ser una licenciada de turismo y hotelería en UNAB porque quiero ayudar a mis padres económicamente, poder difundir los lugares turísticos de mi país'. Otro caso representativo es el de un estudiante que pasó de 'ingeniero porque me gusta mucho' a 'ser ingeniero y mi meta es poner seguridad en mi comunidad porque tengo un poco de habilidad en los números'. Otra transformación se observa en quien inicialmente decía 'porque me encanta diseñar casitas' y ahora expresa 'ser arquitecta porque es mi pasión dibujar e imaginar cómo son las estructuras, porque quiero ayudar a mi comunidad con infraestructura física resistente a los desastres'. 
Estas respuestas reflejan un proceso de reflexión más profundo donde los estudiantes han comenzado a vincular sus aspiraciones futuras con experiencias personales significativas, propósito de retribución familiar y comunitaria, y una conciencia más clara de cómo sus habilidades</t>
  </si>
  <si>
    <t>Sugerencias</t>
  </si>
  <si>
    <t xml:space="preserve">Implementar una fase de coordinación institucional previa más amplia. Previo al inicio del PDLE, reuniones formales con directivos y tutores donde se presente el programa de manera integral, se acuerden fechas inamovibles en el calendario escolar con compromiso escrito de priorización del PDLE, se establezcan protocolos claros de comunicación ante eventualidades que incluyan tiempos máximos de respuesta y canales específicos, y se firmen acuerdos de participación que especifiquen roles y responsabilidades de cada actor. Esta formalización inicial reduce las reprogramaciones y fortalece el compromiso institucional con la continuidad del programa, evitando que las actividades del PDLE sean desplazadas sistemáticamente por otras actividades escolares.
Fortalecer la estrategia de integración de tutores. Se recomienda implementar: (1) una sesión de inducción previa al inicio donde se explique la metodología del PDLE, se comparta el plan completo de las ocho sesiones con anticipación, se modelen algunas dinámicas clave, y se establezcan acuerdos explícitos sobre el rol esperado del tutor considerando sus posibilidades reales de participación según carga docente; (2) conversaciones breves de retroalimentación post-sesión que valoren su participación e identifiquen oportunidades de mejora; (3) reconocimiento público de los tutores más involucrados en las celebraciones de cierre.
Implementar un evento de encuentro a mediados del programa que reúna a estudiantes de las tres instituciones. Este encuentro cumpliría propósitos estratégicos: (1) romper el aislamiento geográfico permitiendo que conozcan adolescentes de contextos similares construyendo sus proyectos de vida; (2) generar intercambio mediante presentación de marcas personales y diálogo sobre sueños en grupos mixtos; (3) fortalecer motivación al experimentarse parte de un movimiento más amplio; (4) ampliar horizontes conociendo diferentes aspiraciones y estrategias. 
Implementar sesiones de cierre por grupo que permitan procesar emocionalmente el cierre del ciclo formativo en un espacio seguro y contenido. Después de completar la sesión 8, programar un espacio de 30-40 minutos adicionales para un momento de despedida profundo solo con los participantes del grupo y su tutor. Este espacio incluiría: círculo de cierre donde cada estudiante comparta qué se lleva del PDLE y qué compromiso asume, relectura de cartas iniciales de la sesión 1 para contrastar la evolución de su visión personal, y ritual de gratitud donde expresen reconocimientos a compañeros que los inspiraron. Este espacio íntimo, sin presión de audiencia externa, permite que estudiantes más reservados o con dificultades de expresión pública también expresen sus sentimientos y sean validados por su grupo cercano.
Ajustar los instrumentos de evaluación considerando las particularidades de contextos y las limitaciones identificadas en la aplicación. Se recomienda: (1) reducir la escala socioemocional de 55 a aproximadamente 35-40 ítems, priorizando aquellos con mayor poder discriminante, o dividir su aplicación en dos momentos diferentes para evitar fatiga y resistencia; (2) revisar y simplificar el vocabulario técnico de algunos ítems (como "coeficiente intelectual") reemplazándolo por lenguaje más accesible sin perder rigurosidad conceptual; (3) incorporar en las encuestas cualitativas breves repreguntas que motive respuestas más elaboradas, o ejemplos concretos de respuestas bien elaboradas, para que exista un mejor entendimiento del objetivo de cada pregunta.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</si>
</sst>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Arial"/>
    </font>
    <font>
      <color rgb="FF434343"/>
      <name val="Arial"/>
    </font>
    <font>
      <color rgb="FF434343"/>
      <name val="Roboto"/>
    </font>
    <font>
      <b/>
      <sz val="10.0"/>
      <color rgb="FFFFFFFF"/>
      <name val="Montserrat"/>
    </font>
    <font>
      <sz val="10.0"/>
      <color theme="1"/>
      <name val="Montserrat"/>
    </font>
    <font>
      <sz val="10.0"/>
      <color rgb="FF000000"/>
      <name val="Montserrat"/>
    </font>
    <font>
      <b/>
      <sz val="10.0"/>
      <color rgb="FF000000"/>
      <name val="Montserrat"/>
    </font>
    <font>
      <b/>
      <sz val="11.0"/>
      <color rgb="FFFFFFFF"/>
      <name val="Arial"/>
    </font>
    <font>
      <sz val="8.0"/>
      <color rgb="FF000000"/>
      <name val="Montserrat"/>
    </font>
    <font>
      <color rgb="FF0F1115"/>
      <name val="Montserrat"/>
    </font>
    <font>
      <color rgb="FF000000"/>
      <name val="Montserrat"/>
    </font>
    <font>
      <b/>
      <sz val="10.0"/>
      <color rgb="FFFFFFFF"/>
      <name val="Arial"/>
      <scheme val="minor"/>
    </font>
    <font>
      <sz val="10.0"/>
      <color theme="1"/>
      <name val="Arial"/>
      <scheme val="minor"/>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073763"/>
        <bgColor rgb="FF07376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49" xfId="0" applyAlignment="1" applyBorder="1" applyFill="1" applyFont="1" applyNumberFormat="1">
      <alignment horizontal="left" readingOrder="0" shrinkToFit="0" vertical="center" wrapText="0"/>
    </xf>
    <xf borderId="1" fillId="2" fontId="1" numFmtId="49" xfId="0" applyAlignment="1" applyBorder="1" applyFont="1" applyNumberFormat="1">
      <alignment horizontal="center" readingOrder="0" shrinkToFit="0" vertical="center" wrapText="0"/>
    </xf>
    <xf borderId="1" fillId="3" fontId="2" numFmtId="49" xfId="0" applyAlignment="1" applyBorder="1" applyFill="1" applyFont="1" applyNumberFormat="1">
      <alignment shrinkToFit="0" vertical="bottom" wrapText="0"/>
    </xf>
    <xf borderId="1" fillId="3" fontId="3" numFmtId="49" xfId="0" applyAlignment="1" applyBorder="1" applyFont="1" applyNumberFormat="1">
      <alignment shrinkToFit="0" vertical="center" wrapText="0"/>
    </xf>
    <xf borderId="1" fillId="3" fontId="2" numFmtId="49" xfId="0" applyAlignment="1" applyBorder="1" applyFont="1" applyNumberFormat="1">
      <alignment shrinkToFit="0" vertical="bottom" wrapText="0"/>
    </xf>
    <xf borderId="1" fillId="3" fontId="2" numFmtId="49" xfId="0" applyAlignment="1" applyBorder="1" applyFont="1" applyNumberFormat="1">
      <alignment horizontal="center" shrinkToFit="0" vertical="bottom" wrapText="0"/>
    </xf>
    <xf borderId="1" fillId="4"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4" fontId="4" numFmtId="49" xfId="0" applyAlignment="1" applyBorder="1" applyFont="1" applyNumberFormat="1">
      <alignment horizontal="center" readingOrder="0" shrinkToFit="0" vertical="center" wrapText="1"/>
    </xf>
    <xf borderId="1" fillId="4" fontId="4" numFmtId="3" xfId="0" applyAlignment="1" applyBorder="1" applyFont="1" applyNumberFormat="1">
      <alignment horizontal="center" readingOrder="0" shrinkToFit="0" vertical="center" wrapText="1"/>
    </xf>
    <xf borderId="1" fillId="0" fontId="6" numFmtId="49" xfId="0" applyAlignment="1" applyBorder="1" applyFont="1" applyNumberFormat="1">
      <alignment horizontal="center" readingOrder="0" shrinkToFit="0" vertical="center" wrapText="1"/>
    </xf>
    <xf borderId="1" fillId="0" fontId="6" numFmtId="1" xfId="0" applyAlignment="1" applyBorder="1" applyFont="1" applyNumberFormat="1">
      <alignment horizontal="center" readingOrder="0" shrinkToFit="0" vertical="center" wrapText="1"/>
    </xf>
    <xf borderId="1" fillId="0" fontId="6" numFmtId="3" xfId="0" applyAlignment="1" applyBorder="1" applyFont="1" applyNumberFormat="1">
      <alignment horizontal="center" readingOrder="0" shrinkToFit="0" vertical="center" wrapText="1"/>
    </xf>
    <xf borderId="0" fillId="0" fontId="6" numFmtId="49" xfId="0" applyAlignment="1" applyFont="1" applyNumberFormat="1">
      <alignment shrinkToFit="0" vertical="center" wrapText="1"/>
    </xf>
    <xf borderId="0" fillId="0" fontId="6" numFmtId="3" xfId="0" applyAlignment="1" applyFont="1" applyNumberFormat="1">
      <alignment horizontal="center" shrinkToFit="0" vertical="center" wrapText="1"/>
    </xf>
    <xf borderId="0" fillId="0" fontId="7" numFmtId="49" xfId="0" applyAlignment="1" applyFont="1" applyNumberFormat="1">
      <alignment horizontal="center" readingOrder="0" shrinkToFit="0" vertical="center" wrapText="1"/>
    </xf>
    <xf borderId="0" fillId="0" fontId="6" numFmtId="0" xfId="0" applyFont="1"/>
    <xf borderId="0" fillId="4" fontId="8" numFmtId="0" xfId="0" applyAlignment="1" applyFont="1">
      <alignment horizontal="center" readingOrder="0" shrinkToFit="0" vertical="center" wrapText="1"/>
    </xf>
    <xf borderId="0" fillId="4" fontId="8" numFmtId="49" xfId="0" applyAlignment="1" applyFont="1" applyNumberForma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0" fillId="0" fontId="9" numFmtId="0" xfId="0" applyAlignment="1" applyFont="1">
      <alignment horizontal="left" readingOrder="0" shrinkToFit="0" wrapText="1"/>
    </xf>
    <xf borderId="0" fillId="0" fontId="9" numFmtId="49" xfId="0" applyAlignment="1" applyFont="1" applyNumberFormat="1">
      <alignment horizontal="left" readingOrder="0" shrinkToFit="0" wrapText="1"/>
    </xf>
    <xf borderId="0" fillId="5" fontId="10" numFmtId="0" xfId="0" applyAlignment="1" applyFill="1" applyFont="1">
      <alignment readingOrder="0" shrinkToFit="0" wrapText="1"/>
    </xf>
    <xf borderId="0" fillId="0" fontId="11" numFmtId="0" xfId="0" applyAlignment="1" applyFont="1">
      <alignment horizontal="left" readingOrder="0" shrinkToFit="0" wrapText="1"/>
    </xf>
    <xf borderId="0" fillId="0" fontId="11" numFmtId="0" xfId="0" applyAlignment="1" applyFont="1">
      <alignment readingOrder="0" shrinkToFit="0" wrapText="1"/>
    </xf>
    <xf borderId="1" fillId="4" fontId="4" numFmtId="9" xfId="0" applyAlignment="1" applyBorder="1" applyFont="1" applyNumberFormat="1">
      <alignment horizontal="center" readingOrder="0" shrinkToFit="0" vertical="center" wrapText="1"/>
    </xf>
    <xf borderId="1" fillId="0" fontId="6" numFmtId="9" xfId="0" applyAlignment="1" applyBorder="1" applyFont="1" applyNumberFormat="1">
      <alignment horizontal="left" readingOrder="0" shrinkToFit="0" vertical="center" wrapText="1"/>
    </xf>
    <xf borderId="1" fillId="0" fontId="6" numFmtId="9" xfId="0" applyAlignment="1" applyBorder="1" applyFont="1" applyNumberFormat="1">
      <alignment horizontal="center" readingOrder="0" shrinkToFit="0" vertical="center" wrapText="1"/>
    </xf>
    <xf borderId="1" fillId="0" fontId="6" numFmtId="0" xfId="0" applyAlignment="1" applyBorder="1" applyFont="1">
      <alignment horizontal="left" readingOrder="0" shrinkToFit="0" wrapText="1"/>
    </xf>
    <xf borderId="1" fillId="0" fontId="6" numFmtId="9" xfId="0" applyAlignment="1" applyBorder="1" applyFont="1" applyNumberFormat="1">
      <alignment horizontal="left" readingOrder="0" shrinkToFit="0" wrapText="1"/>
    </xf>
    <xf borderId="1" fillId="5" fontId="6" numFmtId="0" xfId="0" applyAlignment="1" applyBorder="1" applyFont="1">
      <alignment horizontal="left" readingOrder="0" shrinkToFit="0" wrapText="1"/>
    </xf>
    <xf borderId="1" fillId="5" fontId="5" numFmtId="0" xfId="0" applyAlignment="1" applyBorder="1" applyFont="1">
      <alignment horizontal="left" readingOrder="0" shrinkToFit="0" wrapText="1"/>
    </xf>
    <xf borderId="1" fillId="5" fontId="5" numFmtId="0" xfId="0" applyAlignment="1" applyBorder="1" applyFont="1">
      <alignment horizontal="left" readingOrder="0" shrinkToFit="0" vertical="center" wrapText="1"/>
    </xf>
    <xf borderId="1" fillId="0" fontId="6" numFmtId="10" xfId="0" applyAlignment="1" applyBorder="1" applyFont="1" applyNumberFormat="1">
      <alignment horizontal="center" readingOrder="0" shrinkToFit="0" vertical="center" wrapText="1"/>
    </xf>
    <xf borderId="0" fillId="4" fontId="12" numFmtId="0" xfId="0" applyAlignment="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0"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 fillId="0" fontId="13" numFmtId="0" xfId="0" applyAlignment="1" applyBorder="1" applyFont="1">
      <alignment horizontal="left" readingOrder="0" shrinkToFit="0" vertical="center" wrapText="1"/>
    </xf>
    <xf borderId="0" fillId="0" fontId="13" numFmtId="0" xfId="0" applyAlignment="1" applyFont="1">
      <alignment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0" fillId="0" fontId="6"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I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 displayName="Tabla_1" name="Tabla_1" id="1">
  <tableColumns count="8">
    <tableColumn name="Institución educativa" id="1"/>
    <tableColumn name="UGT" id="2"/>
    <tableColumn name="Provincia" id="3"/>
    <tableColumn name="Distrito" id="4"/>
    <tableColumn name="Centro Poblado" id="5"/>
    <tableColumn name="Cod modular" id="6"/>
    <tableColumn name="Cod local" id="7"/>
    <tableColumn name="Nivel modular" id="8"/>
  </tableColumns>
  <tableStyleInfo name="II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16.5"/>
    <col customWidth="1" min="3" max="3" width="13.0"/>
    <col customWidth="1" min="4" max="4" width="21.13"/>
    <col customWidth="1" min="5" max="5" width="23.13"/>
    <col customWidth="1" min="6" max="6" width="19.0"/>
    <col customWidth="1" min="7" max="7" width="16.25"/>
    <col customWidth="1" min="8" max="8" width="19.13"/>
  </cols>
  <sheetData>
    <row r="1" ht="22.5" customHeight="1">
      <c r="A1" s="1" t="s">
        <v>0</v>
      </c>
      <c r="B1" s="2" t="s">
        <v>1</v>
      </c>
      <c r="C1" s="2" t="s">
        <v>2</v>
      </c>
      <c r="D1" s="2" t="s">
        <v>3</v>
      </c>
      <c r="E1" s="2" t="s">
        <v>4</v>
      </c>
      <c r="F1" s="2" t="s">
        <v>5</v>
      </c>
      <c r="G1" s="2" t="s">
        <v>6</v>
      </c>
      <c r="H1" s="2" t="s">
        <v>7</v>
      </c>
    </row>
    <row r="2" ht="22.5" customHeight="1">
      <c r="A2" s="3" t="s">
        <v>8</v>
      </c>
      <c r="B2" s="4" t="s">
        <v>9</v>
      </c>
      <c r="C2" s="5" t="s">
        <v>10</v>
      </c>
      <c r="D2" s="5" t="s">
        <v>11</v>
      </c>
      <c r="E2" s="5" t="s">
        <v>12</v>
      </c>
      <c r="F2" s="3" t="s">
        <v>13</v>
      </c>
      <c r="G2" s="3" t="s">
        <v>14</v>
      </c>
      <c r="H2" s="6" t="s">
        <v>15</v>
      </c>
    </row>
    <row r="3" ht="22.5" customHeight="1">
      <c r="A3" s="3" t="s">
        <v>16</v>
      </c>
      <c r="B3" s="4" t="s">
        <v>9</v>
      </c>
      <c r="C3" s="5" t="s">
        <v>10</v>
      </c>
      <c r="D3" s="5" t="s">
        <v>11</v>
      </c>
      <c r="E3" s="5" t="s">
        <v>17</v>
      </c>
      <c r="F3" s="3" t="s">
        <v>18</v>
      </c>
      <c r="G3" s="3" t="s">
        <v>19</v>
      </c>
      <c r="H3" s="6" t="s">
        <v>15</v>
      </c>
    </row>
    <row r="4" ht="22.5" customHeight="1">
      <c r="A4" s="3" t="s">
        <v>20</v>
      </c>
      <c r="B4" s="4" t="s">
        <v>9</v>
      </c>
      <c r="C4" s="5" t="s">
        <v>10</v>
      </c>
      <c r="D4" s="5" t="s">
        <v>21</v>
      </c>
      <c r="E4" s="5" t="s">
        <v>21</v>
      </c>
      <c r="F4" s="3" t="s">
        <v>22</v>
      </c>
      <c r="G4" s="3" t="s">
        <v>23</v>
      </c>
      <c r="H4" s="6" t="s">
        <v>15</v>
      </c>
    </row>
    <row r="5" ht="22.5" customHeight="1">
      <c r="A5" s="3" t="s">
        <v>24</v>
      </c>
      <c r="B5" s="4" t="s">
        <v>9</v>
      </c>
      <c r="C5" s="5" t="s">
        <v>10</v>
      </c>
      <c r="D5" s="5" t="s">
        <v>21</v>
      </c>
      <c r="E5" s="5" t="s">
        <v>25</v>
      </c>
      <c r="F5" s="3" t="s">
        <v>26</v>
      </c>
      <c r="G5" s="3" t="s">
        <v>27</v>
      </c>
      <c r="H5" s="6" t="s">
        <v>15</v>
      </c>
    </row>
    <row r="6" ht="22.5" customHeight="1">
      <c r="A6" s="3" t="s">
        <v>28</v>
      </c>
      <c r="B6" s="4" t="s">
        <v>9</v>
      </c>
      <c r="C6" s="5" t="s">
        <v>10</v>
      </c>
      <c r="D6" s="5" t="s">
        <v>29</v>
      </c>
      <c r="E6" s="5" t="s">
        <v>30</v>
      </c>
      <c r="F6" s="3" t="s">
        <v>31</v>
      </c>
      <c r="G6" s="3" t="s">
        <v>32</v>
      </c>
      <c r="H6" s="6" t="s">
        <v>15</v>
      </c>
    </row>
    <row r="7" ht="22.5" customHeight="1">
      <c r="A7" s="3" t="s">
        <v>33</v>
      </c>
      <c r="B7" s="4" t="s">
        <v>9</v>
      </c>
      <c r="C7" s="5" t="s">
        <v>34</v>
      </c>
      <c r="D7" s="5" t="s">
        <v>35</v>
      </c>
      <c r="E7" s="5" t="s">
        <v>36</v>
      </c>
      <c r="F7" s="3" t="s">
        <v>37</v>
      </c>
      <c r="G7" s="3" t="s">
        <v>38</v>
      </c>
      <c r="H7" s="6" t="s">
        <v>15</v>
      </c>
    </row>
    <row r="8" ht="22.5" customHeight="1">
      <c r="A8" s="3" t="s">
        <v>39</v>
      </c>
      <c r="B8" s="4" t="s">
        <v>40</v>
      </c>
      <c r="C8" s="5" t="s">
        <v>41</v>
      </c>
      <c r="D8" s="5" t="s">
        <v>42</v>
      </c>
      <c r="E8" s="5" t="s">
        <v>43</v>
      </c>
      <c r="F8" s="3" t="s">
        <v>44</v>
      </c>
      <c r="G8" s="3" t="s">
        <v>45</v>
      </c>
      <c r="H8" s="6" t="s">
        <v>15</v>
      </c>
    </row>
    <row r="9" ht="22.5" customHeight="1">
      <c r="A9" s="3" t="s">
        <v>46</v>
      </c>
      <c r="B9" s="4" t="s">
        <v>40</v>
      </c>
      <c r="C9" s="5" t="s">
        <v>41</v>
      </c>
      <c r="D9" s="5" t="s">
        <v>42</v>
      </c>
      <c r="E9" s="5" t="s">
        <v>42</v>
      </c>
      <c r="F9" s="3" t="s">
        <v>47</v>
      </c>
      <c r="G9" s="3" t="s">
        <v>48</v>
      </c>
      <c r="H9" s="6" t="s">
        <v>15</v>
      </c>
    </row>
    <row r="10" ht="22.5" customHeight="1">
      <c r="A10" s="3" t="s">
        <v>49</v>
      </c>
      <c r="B10" s="4" t="s">
        <v>40</v>
      </c>
      <c r="C10" s="5" t="s">
        <v>41</v>
      </c>
      <c r="D10" s="5" t="s">
        <v>42</v>
      </c>
      <c r="E10" s="5" t="s">
        <v>50</v>
      </c>
      <c r="F10" s="3" t="s">
        <v>51</v>
      </c>
      <c r="G10" s="3" t="s">
        <v>52</v>
      </c>
      <c r="H10" s="6" t="s">
        <v>15</v>
      </c>
    </row>
  </sheetData>
  <dataValidations>
    <dataValidation allowBlank="1" showDropDown="1" sqref="A2:A10 F2:G10"/>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5"/>
  </cols>
  <sheetData>
    <row r="1">
      <c r="A1" s="7" t="s">
        <v>53</v>
      </c>
      <c r="B1" s="7" t="s">
        <v>54</v>
      </c>
    </row>
    <row r="2">
      <c r="A2" s="8" t="s">
        <v>55</v>
      </c>
      <c r="B2" s="9" t="s">
        <v>56</v>
      </c>
    </row>
    <row r="3">
      <c r="A3" s="10" t="s">
        <v>57</v>
      </c>
      <c r="B3" s="10" t="s">
        <v>58</v>
      </c>
    </row>
    <row r="4">
      <c r="A4" s="8" t="s">
        <v>59</v>
      </c>
      <c r="B4" s="8" t="s">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v>
      </c>
      <c r="B1" s="11" t="s">
        <v>2</v>
      </c>
      <c r="C1" s="11" t="s">
        <v>3</v>
      </c>
      <c r="D1" s="11" t="s">
        <v>4</v>
      </c>
      <c r="E1" s="11" t="s">
        <v>0</v>
      </c>
      <c r="F1" s="11" t="s">
        <v>5</v>
      </c>
      <c r="G1" s="12" t="s">
        <v>61</v>
      </c>
      <c r="H1" s="12" t="s">
        <v>62</v>
      </c>
      <c r="I1" s="7" t="s">
        <v>54</v>
      </c>
    </row>
    <row r="2">
      <c r="A2" s="13" t="s">
        <v>63</v>
      </c>
      <c r="B2" s="13" t="s">
        <v>10</v>
      </c>
      <c r="C2" s="13" t="s">
        <v>11</v>
      </c>
      <c r="D2" s="13" t="s">
        <v>12</v>
      </c>
      <c r="E2" s="13" t="s">
        <v>8</v>
      </c>
      <c r="F2" s="13" t="s">
        <v>13</v>
      </c>
      <c r="G2" s="14">
        <v>106.0</v>
      </c>
      <c r="H2" s="14">
        <v>7.0</v>
      </c>
      <c r="I2" s="15" t="s">
        <v>56</v>
      </c>
    </row>
    <row r="3">
      <c r="A3" s="13" t="s">
        <v>63</v>
      </c>
      <c r="B3" s="13" t="s">
        <v>10</v>
      </c>
      <c r="C3" s="13" t="s">
        <v>11</v>
      </c>
      <c r="D3" s="13" t="s">
        <v>17</v>
      </c>
      <c r="E3" s="13" t="s">
        <v>64</v>
      </c>
      <c r="F3" s="13" t="s">
        <v>18</v>
      </c>
      <c r="G3" s="14">
        <v>8.0</v>
      </c>
      <c r="H3" s="14">
        <v>1.0</v>
      </c>
      <c r="I3" s="15" t="s">
        <v>56</v>
      </c>
    </row>
    <row r="4">
      <c r="A4" s="13" t="s">
        <v>63</v>
      </c>
      <c r="B4" s="13" t="s">
        <v>34</v>
      </c>
      <c r="C4" s="13" t="s">
        <v>35</v>
      </c>
      <c r="D4" s="13" t="s">
        <v>36</v>
      </c>
      <c r="E4" s="13" t="s">
        <v>33</v>
      </c>
      <c r="F4" s="13" t="s">
        <v>37</v>
      </c>
      <c r="G4" s="14">
        <v>34.0</v>
      </c>
      <c r="H4" s="14">
        <v>4.0</v>
      </c>
      <c r="I4" s="15" t="s">
        <v>56</v>
      </c>
    </row>
    <row r="5">
      <c r="A5" s="13" t="s">
        <v>63</v>
      </c>
      <c r="B5" s="13" t="s">
        <v>10</v>
      </c>
      <c r="C5" s="13" t="s">
        <v>21</v>
      </c>
      <c r="D5" s="13" t="s">
        <v>21</v>
      </c>
      <c r="E5" s="13" t="s">
        <v>65</v>
      </c>
      <c r="F5" s="13" t="s">
        <v>22</v>
      </c>
      <c r="G5" s="14">
        <v>27.0</v>
      </c>
      <c r="H5" s="14">
        <v>3.0</v>
      </c>
      <c r="I5" s="15" t="s">
        <v>58</v>
      </c>
    </row>
    <row r="6">
      <c r="A6" s="13" t="s">
        <v>63</v>
      </c>
      <c r="B6" s="13" t="s">
        <v>10</v>
      </c>
      <c r="C6" s="13" t="s">
        <v>21</v>
      </c>
      <c r="D6" s="13" t="s">
        <v>25</v>
      </c>
      <c r="E6" s="13" t="s">
        <v>24</v>
      </c>
      <c r="F6" s="13" t="s">
        <v>26</v>
      </c>
      <c r="G6" s="14">
        <v>27.0</v>
      </c>
      <c r="H6" s="14">
        <v>3.0</v>
      </c>
      <c r="I6" s="15" t="s">
        <v>58</v>
      </c>
    </row>
    <row r="7">
      <c r="A7" s="13" t="s">
        <v>63</v>
      </c>
      <c r="B7" s="13" t="s">
        <v>10</v>
      </c>
      <c r="C7" s="13" t="s">
        <v>29</v>
      </c>
      <c r="D7" s="13" t="s">
        <v>30</v>
      </c>
      <c r="E7" s="13" t="s">
        <v>28</v>
      </c>
      <c r="F7" s="13" t="s">
        <v>31</v>
      </c>
      <c r="G7" s="14">
        <v>58.0</v>
      </c>
      <c r="H7" s="14">
        <v>3.0</v>
      </c>
      <c r="I7" s="15" t="s">
        <v>58</v>
      </c>
    </row>
    <row r="8">
      <c r="A8" s="13" t="s">
        <v>66</v>
      </c>
      <c r="B8" s="13" t="s">
        <v>41</v>
      </c>
      <c r="C8" s="13" t="s">
        <v>42</v>
      </c>
      <c r="D8" s="13" t="s">
        <v>43</v>
      </c>
      <c r="E8" s="13" t="s">
        <v>39</v>
      </c>
      <c r="F8" s="13" t="s">
        <v>44</v>
      </c>
      <c r="G8" s="14">
        <v>27.0</v>
      </c>
      <c r="H8" s="14">
        <v>2.0</v>
      </c>
      <c r="I8" s="15" t="s">
        <v>60</v>
      </c>
    </row>
    <row r="9">
      <c r="A9" s="13" t="s">
        <v>66</v>
      </c>
      <c r="B9" s="13" t="s">
        <v>41</v>
      </c>
      <c r="C9" s="13" t="s">
        <v>42</v>
      </c>
      <c r="D9" s="13" t="s">
        <v>42</v>
      </c>
      <c r="E9" s="13" t="s">
        <v>46</v>
      </c>
      <c r="F9" s="13" t="s">
        <v>47</v>
      </c>
      <c r="G9" s="14">
        <v>39.0</v>
      </c>
      <c r="H9" s="14">
        <v>2.0</v>
      </c>
      <c r="I9" s="15" t="s">
        <v>60</v>
      </c>
    </row>
    <row r="10">
      <c r="A10" s="13" t="s">
        <v>66</v>
      </c>
      <c r="B10" s="13" t="s">
        <v>41</v>
      </c>
      <c r="C10" s="13" t="s">
        <v>42</v>
      </c>
      <c r="D10" s="13" t="s">
        <v>50</v>
      </c>
      <c r="E10" s="13" t="s">
        <v>49</v>
      </c>
      <c r="F10" s="13" t="s">
        <v>51</v>
      </c>
      <c r="G10" s="14">
        <v>38.0</v>
      </c>
      <c r="H10" s="14">
        <v>2.0</v>
      </c>
      <c r="I10" s="15" t="s">
        <v>60</v>
      </c>
    </row>
    <row r="11">
      <c r="A11" s="16"/>
      <c r="B11" s="16"/>
      <c r="C11" s="16"/>
      <c r="D11" s="16"/>
      <c r="E11" s="16"/>
      <c r="F11" s="16"/>
      <c r="G11" s="16"/>
      <c r="H11" s="17"/>
      <c r="I11" s="17"/>
    </row>
    <row r="12" ht="27.0" customHeight="1">
      <c r="A12" s="18" t="s">
        <v>67</v>
      </c>
      <c r="I12" s="18"/>
    </row>
    <row r="13">
      <c r="A13" s="11" t="s">
        <v>1</v>
      </c>
      <c r="B13" s="11" t="s">
        <v>2</v>
      </c>
      <c r="C13" s="11" t="s">
        <v>3</v>
      </c>
      <c r="D13" s="11" t="s">
        <v>4</v>
      </c>
      <c r="E13" s="11" t="s">
        <v>0</v>
      </c>
      <c r="F13" s="12" t="s">
        <v>61</v>
      </c>
      <c r="G13" s="12" t="s">
        <v>62</v>
      </c>
      <c r="H13" s="19"/>
      <c r="I13" s="19"/>
    </row>
    <row r="14" ht="33.0" customHeight="1">
      <c r="A14" s="13">
        <f>IFERROR(__xludf.DUMMYFUNCTION("COUNTUNIQUE(A2:A10)"),2.0)</f>
        <v>2</v>
      </c>
      <c r="B14" s="13">
        <f>IFERROR(__xludf.DUMMYFUNCTION("COUNTUNIQUE(B2:B10)"),3.0)</f>
        <v>3</v>
      </c>
      <c r="C14" s="13">
        <f>IFERROR(__xludf.DUMMYFUNCTION("COUNTUNIQUE(C2:C10)"),5.0)</f>
        <v>5</v>
      </c>
      <c r="D14" s="13">
        <f>IFERROR(__xludf.DUMMYFUNCTION("COUNTUNIQUE(D2:D10)"),9.0)</f>
        <v>9</v>
      </c>
      <c r="E14" s="13">
        <f>IFERROR(__xludf.DUMMYFUNCTION("COUNTUNIQUE(F2:F10)"),9.0)</f>
        <v>9</v>
      </c>
      <c r="F14" s="15">
        <f t="shared" ref="F14:G14" si="1">SUM(G2:G10)</f>
        <v>364</v>
      </c>
      <c r="G14" s="15">
        <f t="shared" si="1"/>
        <v>27</v>
      </c>
      <c r="H14" s="19"/>
      <c r="I14" s="19"/>
    </row>
    <row r="15">
      <c r="A15" s="16"/>
      <c r="B15" s="16"/>
      <c r="C15" s="16"/>
      <c r="D15" s="16"/>
      <c r="E15" s="16"/>
      <c r="F15" s="16"/>
      <c r="G15" s="16"/>
      <c r="H15" s="17"/>
      <c r="I15" s="17"/>
    </row>
  </sheetData>
  <mergeCells count="1">
    <mergeCell ref="A12:H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59.38"/>
    <col customWidth="1" min="3" max="3" width="46.5"/>
  </cols>
  <sheetData>
    <row r="1">
      <c r="A1" s="7" t="s">
        <v>68</v>
      </c>
      <c r="B1" s="7" t="s">
        <v>69</v>
      </c>
      <c r="C1" s="7" t="s">
        <v>70</v>
      </c>
      <c r="D1" s="7" t="s">
        <v>54</v>
      </c>
    </row>
    <row r="2">
      <c r="A2" s="8" t="s">
        <v>71</v>
      </c>
      <c r="B2" s="8" t="s">
        <v>72</v>
      </c>
      <c r="C2" s="8" t="s">
        <v>73</v>
      </c>
      <c r="D2" s="15" t="s">
        <v>56</v>
      </c>
    </row>
    <row r="3">
      <c r="A3" s="8" t="s">
        <v>74</v>
      </c>
      <c r="B3" s="8" t="s">
        <v>75</v>
      </c>
      <c r="C3" s="8" t="s">
        <v>76</v>
      </c>
      <c r="D3" s="10" t="s">
        <v>58</v>
      </c>
    </row>
    <row r="4">
      <c r="A4" s="8" t="s">
        <v>77</v>
      </c>
      <c r="B4" s="8" t="s">
        <v>78</v>
      </c>
      <c r="C4" s="8" t="s">
        <v>79</v>
      </c>
      <c r="D4" s="15" t="s">
        <v>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6.25"/>
    <col customWidth="1" min="3" max="3" width="12.25"/>
    <col customWidth="1" min="4" max="4" width="37.13"/>
    <col customWidth="1" min="5" max="5" width="35.25"/>
    <col customWidth="1" min="6" max="6" width="38.38"/>
    <col customWidth="1" min="7" max="7" width="12.75"/>
  </cols>
  <sheetData>
    <row r="1">
      <c r="A1" s="20" t="s">
        <v>80</v>
      </c>
      <c r="B1" s="20" t="s">
        <v>0</v>
      </c>
      <c r="C1" s="21" t="s">
        <v>5</v>
      </c>
      <c r="D1" s="20" t="s">
        <v>81</v>
      </c>
      <c r="E1" s="20" t="s">
        <v>82</v>
      </c>
      <c r="F1" s="20" t="s">
        <v>83</v>
      </c>
      <c r="G1" s="20" t="s">
        <v>84</v>
      </c>
    </row>
    <row r="2">
      <c r="A2" s="22" t="s">
        <v>85</v>
      </c>
      <c r="B2" s="22" t="s">
        <v>8</v>
      </c>
      <c r="C2" s="13" t="s">
        <v>13</v>
      </c>
      <c r="D2" s="22" t="s">
        <v>86</v>
      </c>
      <c r="E2" s="22" t="s">
        <v>87</v>
      </c>
      <c r="F2" s="23" t="s">
        <v>88</v>
      </c>
      <c r="G2" s="10" t="s">
        <v>56</v>
      </c>
    </row>
    <row r="3">
      <c r="A3" s="22" t="s">
        <v>89</v>
      </c>
      <c r="B3" s="22" t="s">
        <v>64</v>
      </c>
      <c r="C3" s="13" t="s">
        <v>18</v>
      </c>
      <c r="D3" s="22" t="s">
        <v>90</v>
      </c>
      <c r="E3" s="22" t="s">
        <v>91</v>
      </c>
      <c r="F3" s="23" t="s">
        <v>92</v>
      </c>
      <c r="G3" s="10" t="s">
        <v>56</v>
      </c>
    </row>
    <row r="4">
      <c r="A4" s="22" t="s">
        <v>93</v>
      </c>
      <c r="B4" s="22" t="s">
        <v>33</v>
      </c>
      <c r="C4" s="13" t="s">
        <v>37</v>
      </c>
      <c r="D4" s="22" t="s">
        <v>94</v>
      </c>
      <c r="E4" s="22" t="s">
        <v>95</v>
      </c>
      <c r="F4" s="23" t="s">
        <v>96</v>
      </c>
      <c r="G4" s="10" t="s">
        <v>56</v>
      </c>
    </row>
    <row r="5">
      <c r="A5" s="22" t="s">
        <v>97</v>
      </c>
      <c r="B5" s="22" t="s">
        <v>65</v>
      </c>
      <c r="C5" s="13" t="s">
        <v>22</v>
      </c>
      <c r="D5" s="22" t="s">
        <v>98</v>
      </c>
      <c r="E5" s="22" t="s">
        <v>99</v>
      </c>
      <c r="F5" s="23" t="s">
        <v>100</v>
      </c>
      <c r="G5" s="10" t="s">
        <v>58</v>
      </c>
    </row>
    <row r="6">
      <c r="A6" s="22" t="s">
        <v>101</v>
      </c>
      <c r="B6" s="22" t="s">
        <v>24</v>
      </c>
      <c r="C6" s="13" t="s">
        <v>26</v>
      </c>
      <c r="D6" s="22" t="s">
        <v>102</v>
      </c>
      <c r="E6" s="22" t="s">
        <v>103</v>
      </c>
      <c r="F6" s="23" t="s">
        <v>104</v>
      </c>
      <c r="G6" s="10" t="s">
        <v>58</v>
      </c>
    </row>
    <row r="7">
      <c r="A7" s="22" t="s">
        <v>105</v>
      </c>
      <c r="B7" s="22" t="s">
        <v>28</v>
      </c>
      <c r="C7" s="13" t="s">
        <v>31</v>
      </c>
      <c r="D7" s="22" t="s">
        <v>106</v>
      </c>
      <c r="E7" s="22" t="s">
        <v>107</v>
      </c>
      <c r="F7" s="23" t="s">
        <v>108</v>
      </c>
      <c r="G7" s="10" t="s">
        <v>58</v>
      </c>
    </row>
    <row r="8">
      <c r="A8" s="24" t="s">
        <v>109</v>
      </c>
      <c r="B8" s="24" t="s">
        <v>39</v>
      </c>
      <c r="C8" s="25" t="s">
        <v>44</v>
      </c>
      <c r="D8" s="26" t="s">
        <v>110</v>
      </c>
      <c r="E8" s="26" t="s">
        <v>111</v>
      </c>
      <c r="F8" s="27" t="s">
        <v>100</v>
      </c>
      <c r="G8" s="15" t="s">
        <v>60</v>
      </c>
    </row>
    <row r="9">
      <c r="A9" s="24" t="s">
        <v>112</v>
      </c>
      <c r="B9" s="24" t="s">
        <v>46</v>
      </c>
      <c r="C9" s="25" t="s">
        <v>47</v>
      </c>
      <c r="D9" s="26" t="s">
        <v>113</v>
      </c>
      <c r="E9" s="26" t="s">
        <v>114</v>
      </c>
      <c r="F9" s="26" t="s">
        <v>115</v>
      </c>
      <c r="G9" s="15" t="s">
        <v>60</v>
      </c>
    </row>
    <row r="10">
      <c r="A10" s="24" t="s">
        <v>116</v>
      </c>
      <c r="B10" s="24">
        <v>86350.0</v>
      </c>
      <c r="C10" s="25" t="s">
        <v>51</v>
      </c>
      <c r="D10" s="26" t="s">
        <v>117</v>
      </c>
      <c r="E10" s="26" t="s">
        <v>118</v>
      </c>
      <c r="F10" s="28" t="s">
        <v>119</v>
      </c>
      <c r="G10" s="15" t="s">
        <v>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4" max="4" width="11.63"/>
    <col customWidth="1" min="5" max="6" width="12.5"/>
    <col customWidth="1" min="7" max="7" width="21.0"/>
    <col customWidth="1" min="8" max="8" width="15.63"/>
  </cols>
  <sheetData>
    <row r="1">
      <c r="A1" s="7" t="s">
        <v>80</v>
      </c>
      <c r="B1" s="7" t="s">
        <v>0</v>
      </c>
      <c r="C1" s="7" t="s">
        <v>5</v>
      </c>
      <c r="D1" s="7" t="s">
        <v>120</v>
      </c>
      <c r="E1" s="7" t="s">
        <v>121</v>
      </c>
      <c r="F1" s="29" t="s">
        <v>122</v>
      </c>
      <c r="G1" s="7" t="s">
        <v>123</v>
      </c>
      <c r="H1" s="7" t="s">
        <v>54</v>
      </c>
    </row>
    <row r="2">
      <c r="A2" s="22" t="s">
        <v>85</v>
      </c>
      <c r="B2" s="22" t="s">
        <v>8</v>
      </c>
      <c r="C2" s="22">
        <v>577270.0</v>
      </c>
      <c r="D2" s="22">
        <v>40.0</v>
      </c>
      <c r="E2" s="22">
        <v>44.0</v>
      </c>
      <c r="F2" s="30">
        <v>1.1</v>
      </c>
      <c r="G2" s="23" t="s">
        <v>124</v>
      </c>
      <c r="H2" s="15" t="s">
        <v>56</v>
      </c>
    </row>
    <row r="3">
      <c r="A3" s="22" t="s">
        <v>89</v>
      </c>
      <c r="B3" s="22" t="s">
        <v>64</v>
      </c>
      <c r="C3" s="22">
        <v>1090851.0</v>
      </c>
      <c r="D3" s="22">
        <v>8.0</v>
      </c>
      <c r="E3" s="22">
        <v>8.0</v>
      </c>
      <c r="F3" s="30">
        <v>1.0</v>
      </c>
      <c r="G3" s="23"/>
      <c r="H3" s="15" t="s">
        <v>56</v>
      </c>
    </row>
    <row r="4">
      <c r="A4" s="22" t="s">
        <v>93</v>
      </c>
      <c r="B4" s="22" t="s">
        <v>33</v>
      </c>
      <c r="C4" s="22">
        <v>681478.0</v>
      </c>
      <c r="D4" s="22">
        <v>24.0</v>
      </c>
      <c r="E4" s="22">
        <v>24.0</v>
      </c>
      <c r="F4" s="30">
        <v>1.0</v>
      </c>
      <c r="G4" s="23"/>
      <c r="H4" s="15" t="s">
        <v>56</v>
      </c>
    </row>
    <row r="5">
      <c r="A5" s="22" t="s">
        <v>97</v>
      </c>
      <c r="B5" s="22" t="s">
        <v>20</v>
      </c>
      <c r="C5" s="22">
        <v>411850.0</v>
      </c>
      <c r="D5" s="22">
        <v>9.0</v>
      </c>
      <c r="E5" s="22">
        <v>9.0</v>
      </c>
      <c r="F5" s="30">
        <v>1.0</v>
      </c>
      <c r="G5" s="23" t="s">
        <v>125</v>
      </c>
      <c r="H5" s="15" t="s">
        <v>58</v>
      </c>
    </row>
    <row r="6">
      <c r="A6" s="22" t="s">
        <v>101</v>
      </c>
      <c r="B6" s="22" t="s">
        <v>24</v>
      </c>
      <c r="C6" s="22">
        <v>735720.0</v>
      </c>
      <c r="D6" s="22">
        <v>9.0</v>
      </c>
      <c r="E6" s="22">
        <v>9.0</v>
      </c>
      <c r="F6" s="30">
        <v>1.0</v>
      </c>
      <c r="G6" s="23" t="s">
        <v>126</v>
      </c>
      <c r="H6" s="15" t="s">
        <v>58</v>
      </c>
    </row>
    <row r="7">
      <c r="A7" s="22" t="s">
        <v>105</v>
      </c>
      <c r="B7" s="22" t="s">
        <v>28</v>
      </c>
      <c r="C7" s="22">
        <v>597609.0</v>
      </c>
      <c r="D7" s="22">
        <v>9.0</v>
      </c>
      <c r="E7" s="22">
        <v>9.0</v>
      </c>
      <c r="F7" s="30">
        <v>1.0</v>
      </c>
      <c r="G7" s="23" t="s">
        <v>127</v>
      </c>
      <c r="H7" s="15" t="s">
        <v>58</v>
      </c>
    </row>
    <row r="8">
      <c r="A8" s="22"/>
      <c r="B8" s="22"/>
      <c r="C8" s="22"/>
      <c r="D8" s="22"/>
      <c r="E8" s="22"/>
      <c r="F8" s="30"/>
      <c r="G8" s="23"/>
      <c r="H8" s="15" t="s">
        <v>60</v>
      </c>
    </row>
    <row r="9">
      <c r="A9" s="22"/>
      <c r="B9" s="22"/>
      <c r="C9" s="22"/>
      <c r="D9" s="22"/>
      <c r="E9" s="22"/>
      <c r="F9" s="30"/>
      <c r="G9" s="22"/>
      <c r="H9" s="10"/>
    </row>
    <row r="10">
      <c r="A10" s="22"/>
      <c r="B10" s="22"/>
      <c r="C10" s="22"/>
      <c r="D10" s="22"/>
      <c r="E10" s="22"/>
      <c r="F10" s="30"/>
      <c r="G10" s="22"/>
      <c r="H10" s="10"/>
    </row>
    <row r="11">
      <c r="A11" s="22"/>
      <c r="B11" s="22"/>
      <c r="C11" s="22"/>
      <c r="D11" s="22"/>
      <c r="E11" s="22"/>
      <c r="F11" s="30"/>
      <c r="G11" s="22"/>
      <c r="H11" s="23"/>
    </row>
    <row r="12">
      <c r="A12" s="22"/>
      <c r="B12" s="22"/>
      <c r="C12" s="22"/>
      <c r="D12" s="22"/>
      <c r="E12" s="9"/>
      <c r="F12" s="31"/>
      <c r="G12" s="22"/>
      <c r="H12" s="23"/>
    </row>
    <row r="13">
      <c r="A13" s="22"/>
      <c r="B13" s="22"/>
      <c r="C13" s="22"/>
      <c r="D13" s="22"/>
      <c r="E13" s="22"/>
      <c r="F13" s="30"/>
      <c r="G13" s="22"/>
      <c r="H13" s="23"/>
    </row>
    <row r="14">
      <c r="A14" s="22"/>
      <c r="B14" s="22"/>
      <c r="C14" s="22"/>
      <c r="D14" s="22"/>
      <c r="E14" s="22"/>
      <c r="F14" s="30"/>
      <c r="G14" s="22"/>
      <c r="H14" s="23"/>
    </row>
    <row r="15">
      <c r="A15" s="22"/>
      <c r="B15" s="22"/>
      <c r="C15" s="22"/>
      <c r="D15" s="22"/>
      <c r="E15" s="22"/>
      <c r="F15" s="30"/>
      <c r="G15" s="22"/>
      <c r="H15" s="23"/>
    </row>
    <row r="16">
      <c r="A16" s="22"/>
      <c r="B16" s="22"/>
      <c r="C16" s="22"/>
      <c r="D16" s="22"/>
      <c r="E16" s="22"/>
      <c r="F16" s="30"/>
      <c r="G16" s="22"/>
      <c r="H16" s="23"/>
    </row>
    <row r="17">
      <c r="A17" s="22"/>
      <c r="B17" s="22"/>
      <c r="C17" s="22"/>
      <c r="D17" s="22"/>
      <c r="E17" s="22"/>
      <c r="F17" s="30"/>
      <c r="G17" s="22"/>
      <c r="H17" s="10"/>
    </row>
    <row r="18">
      <c r="A18" s="22"/>
      <c r="B18" s="22"/>
      <c r="C18" s="22"/>
      <c r="D18" s="22"/>
      <c r="E18" s="22"/>
      <c r="F18" s="30"/>
      <c r="G18" s="22"/>
      <c r="H18" s="10"/>
    </row>
    <row r="19">
      <c r="A19" s="22"/>
      <c r="B19" s="22"/>
      <c r="C19" s="22"/>
      <c r="D19" s="22"/>
      <c r="E19" s="22"/>
      <c r="F19" s="30"/>
      <c r="G19" s="22"/>
      <c r="H19" s="10"/>
    </row>
    <row r="20">
      <c r="A20" s="22"/>
      <c r="B20" s="22"/>
      <c r="C20" s="22"/>
      <c r="D20" s="22"/>
      <c r="E20" s="22"/>
      <c r="F20" s="30"/>
      <c r="G20" s="22"/>
      <c r="H20" s="10"/>
    </row>
    <row r="21">
      <c r="A21" s="22"/>
      <c r="B21" s="22"/>
      <c r="C21" s="22"/>
      <c r="D21" s="22"/>
      <c r="E21" s="22"/>
      <c r="F21" s="30"/>
      <c r="G21" s="22"/>
      <c r="H21" s="10"/>
    </row>
    <row r="22">
      <c r="A22" s="22"/>
      <c r="B22" s="22"/>
      <c r="C22" s="22"/>
      <c r="D22" s="22"/>
      <c r="E22" s="22"/>
      <c r="F22" s="30"/>
      <c r="G22" s="22"/>
      <c r="H22" s="10"/>
    </row>
    <row r="23">
      <c r="A23" s="32"/>
      <c r="B23" s="32"/>
      <c r="C23" s="32"/>
      <c r="D23" s="32"/>
      <c r="E23" s="32"/>
      <c r="F23" s="33"/>
      <c r="G23" s="34"/>
      <c r="H23" s="23"/>
    </row>
    <row r="24">
      <c r="A24" s="32"/>
      <c r="B24" s="32"/>
      <c r="C24" s="32"/>
      <c r="D24" s="32"/>
      <c r="E24" s="32"/>
      <c r="F24" s="33"/>
      <c r="G24" s="34"/>
      <c r="H24" s="23"/>
    </row>
    <row r="25">
      <c r="A25" s="32"/>
      <c r="B25" s="32"/>
      <c r="C25" s="32"/>
      <c r="D25" s="32"/>
      <c r="E25" s="32"/>
      <c r="F25" s="33"/>
      <c r="G25" s="34"/>
      <c r="H25" s="23"/>
    </row>
    <row r="26">
      <c r="A26" s="32"/>
      <c r="B26" s="32"/>
      <c r="C26" s="32"/>
      <c r="D26" s="32"/>
      <c r="E26" s="32"/>
      <c r="F26" s="33"/>
      <c r="G26" s="35"/>
      <c r="H26" s="23"/>
    </row>
    <row r="27">
      <c r="A27" s="22"/>
      <c r="B27" s="22"/>
      <c r="C27" s="22"/>
      <c r="D27" s="22"/>
      <c r="E27" s="22"/>
      <c r="F27" s="30"/>
      <c r="G27" s="36"/>
      <c r="H27" s="23"/>
    </row>
    <row r="28">
      <c r="A28" s="22"/>
      <c r="B28" s="22"/>
      <c r="C28" s="22"/>
      <c r="D28" s="22"/>
      <c r="E28" s="22"/>
      <c r="F28" s="30"/>
      <c r="G28" s="36"/>
      <c r="H28" s="23"/>
    </row>
    <row r="29">
      <c r="A29" s="22"/>
      <c r="B29" s="22"/>
      <c r="C29" s="22"/>
      <c r="D29" s="22"/>
      <c r="E29" s="22"/>
      <c r="F29" s="30"/>
      <c r="G29" s="36"/>
      <c r="H29" s="23"/>
    </row>
    <row r="30">
      <c r="A30" s="22"/>
      <c r="B30" s="22"/>
      <c r="C30" s="22"/>
      <c r="D30" s="22"/>
      <c r="E30" s="22"/>
      <c r="F30" s="30"/>
      <c r="G30" s="36"/>
      <c r="H30" s="23"/>
    </row>
    <row r="31">
      <c r="A31" s="22"/>
      <c r="B31" s="22"/>
      <c r="C31" s="22"/>
      <c r="D31" s="22"/>
      <c r="E31" s="22"/>
      <c r="F31" s="30"/>
      <c r="G31" s="36"/>
      <c r="H31"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4" max="4" width="24.0"/>
  </cols>
  <sheetData>
    <row r="1">
      <c r="A1" s="7" t="s">
        <v>128</v>
      </c>
      <c r="B1" s="7" t="s">
        <v>129</v>
      </c>
      <c r="C1" s="7" t="s">
        <v>130</v>
      </c>
      <c r="D1" s="7" t="s">
        <v>54</v>
      </c>
    </row>
    <row r="2">
      <c r="A2" s="15">
        <v>76.0</v>
      </c>
      <c r="B2" s="15">
        <v>80.0</v>
      </c>
      <c r="C2" s="37">
        <v>1.05</v>
      </c>
      <c r="D2" s="15" t="s">
        <v>56</v>
      </c>
    </row>
    <row r="3">
      <c r="A3" s="9"/>
      <c r="B3" s="9"/>
      <c r="C3" s="9"/>
      <c r="D3" s="10" t="s">
        <v>58</v>
      </c>
    </row>
    <row r="4">
      <c r="A4" s="9"/>
      <c r="B4" s="9"/>
      <c r="C4" s="9"/>
      <c r="D4" s="15" t="s">
        <v>60</v>
      </c>
    </row>
    <row r="5">
      <c r="A5" s="9"/>
      <c r="B5" s="9"/>
      <c r="C5" s="9"/>
      <c r="D5" s="10"/>
    </row>
    <row r="6">
      <c r="A6" s="9"/>
      <c r="B6" s="9"/>
      <c r="C6" s="9"/>
      <c r="D6" s="23"/>
    </row>
    <row r="7">
      <c r="A7" s="9"/>
      <c r="B7" s="9"/>
      <c r="C7" s="9"/>
      <c r="D7" s="23"/>
    </row>
    <row r="8">
      <c r="A8" s="9"/>
      <c r="B8" s="9"/>
      <c r="C8" s="9"/>
      <c r="D8" s="10"/>
    </row>
    <row r="9">
      <c r="A9" s="9"/>
      <c r="B9" s="9"/>
      <c r="C9" s="9"/>
      <c r="D9" s="10"/>
    </row>
    <row r="10">
      <c r="A10" s="9"/>
      <c r="B10" s="9"/>
      <c r="C10" s="9"/>
      <c r="D10" s="23"/>
    </row>
    <row r="11">
      <c r="A11" s="9"/>
      <c r="B11" s="9"/>
      <c r="C11" s="9"/>
      <c r="D11" s="23"/>
    </row>
    <row r="12">
      <c r="A12" s="9"/>
      <c r="B12" s="9"/>
      <c r="C12" s="9"/>
      <c r="D12" s="23"/>
    </row>
    <row r="13">
      <c r="A13" s="9"/>
      <c r="B13" s="9"/>
      <c r="C13" s="9"/>
      <c r="D13"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11.25"/>
    <col customWidth="1" min="4" max="5" width="56.5"/>
    <col customWidth="1" min="6" max="6" width="14.38"/>
  </cols>
  <sheetData>
    <row r="1">
      <c r="A1" s="38" t="s">
        <v>80</v>
      </c>
      <c r="B1" s="38" t="s">
        <v>0</v>
      </c>
      <c r="C1" s="38" t="s">
        <v>5</v>
      </c>
      <c r="D1" s="38" t="s">
        <v>131</v>
      </c>
      <c r="E1" s="38" t="s">
        <v>132</v>
      </c>
      <c r="F1" s="38" t="s">
        <v>54</v>
      </c>
    </row>
    <row r="2">
      <c r="A2" s="39" t="s">
        <v>85</v>
      </c>
      <c r="B2" s="39" t="s">
        <v>8</v>
      </c>
      <c r="C2" s="39">
        <v>577270.0</v>
      </c>
      <c r="D2" s="39" t="s">
        <v>133</v>
      </c>
      <c r="E2" s="40" t="s">
        <v>134</v>
      </c>
      <c r="F2" s="15" t="s">
        <v>56</v>
      </c>
    </row>
    <row r="3">
      <c r="A3" s="39" t="s">
        <v>89</v>
      </c>
      <c r="B3" s="39" t="s">
        <v>64</v>
      </c>
      <c r="C3" s="39">
        <v>1090851.0</v>
      </c>
      <c r="D3" s="39" t="s">
        <v>135</v>
      </c>
      <c r="E3" s="40" t="s">
        <v>136</v>
      </c>
      <c r="F3" s="15" t="s">
        <v>56</v>
      </c>
    </row>
    <row r="4">
      <c r="A4" s="39" t="s">
        <v>93</v>
      </c>
      <c r="B4" s="39" t="s">
        <v>33</v>
      </c>
      <c r="C4" s="39">
        <v>681478.0</v>
      </c>
      <c r="D4" s="39" t="s">
        <v>137</v>
      </c>
      <c r="E4" s="40" t="s">
        <v>138</v>
      </c>
      <c r="F4" s="15" t="s">
        <v>56</v>
      </c>
    </row>
    <row r="5">
      <c r="A5" s="39"/>
      <c r="B5" s="39"/>
      <c r="C5" s="39"/>
      <c r="D5" s="39"/>
      <c r="E5" s="40"/>
      <c r="F5" s="10" t="s">
        <v>58</v>
      </c>
    </row>
    <row r="6">
      <c r="A6" s="39"/>
      <c r="B6" s="39"/>
      <c r="C6" s="39"/>
      <c r="D6" s="39"/>
      <c r="E6" s="41"/>
      <c r="F6" s="15" t="s">
        <v>60</v>
      </c>
    </row>
    <row r="7">
      <c r="A7" s="39"/>
      <c r="B7" s="39"/>
      <c r="C7" s="39"/>
      <c r="D7" s="39"/>
      <c r="E7" s="41"/>
      <c r="F7" s="40"/>
    </row>
    <row r="8">
      <c r="A8" s="39"/>
      <c r="B8" s="39"/>
      <c r="C8" s="39"/>
      <c r="D8" s="39"/>
      <c r="E8" s="41"/>
      <c r="F8" s="40"/>
    </row>
    <row r="9">
      <c r="A9" s="39"/>
      <c r="B9" s="39"/>
      <c r="C9" s="39"/>
      <c r="D9" s="39"/>
      <c r="E9" s="41"/>
      <c r="F9" s="40"/>
    </row>
    <row r="10">
      <c r="A10" s="39"/>
      <c r="B10" s="39"/>
      <c r="C10" s="39"/>
      <c r="D10" s="39"/>
      <c r="E10" s="41"/>
      <c r="F10" s="40"/>
    </row>
    <row r="11">
      <c r="A11" s="39"/>
      <c r="B11" s="39"/>
      <c r="C11" s="39"/>
      <c r="D11" s="39"/>
      <c r="E11" s="40"/>
      <c r="F11" s="40"/>
    </row>
    <row r="12">
      <c r="A12" s="39"/>
      <c r="B12" s="39"/>
      <c r="C12" s="39"/>
      <c r="D12" s="39"/>
      <c r="E12" s="40"/>
      <c r="F12" s="40"/>
    </row>
    <row r="13">
      <c r="A13" s="39"/>
      <c r="B13" s="39"/>
      <c r="C13" s="39"/>
      <c r="D13" s="39"/>
      <c r="E13" s="40"/>
      <c r="F13" s="40"/>
    </row>
    <row r="14">
      <c r="A14" s="39"/>
      <c r="B14" s="39"/>
      <c r="C14" s="39"/>
      <c r="D14" s="39"/>
      <c r="E14" s="40"/>
      <c r="F14" s="40"/>
    </row>
    <row r="15">
      <c r="A15" s="39"/>
      <c r="B15" s="39"/>
      <c r="C15" s="39"/>
      <c r="D15" s="39"/>
      <c r="E15" s="40"/>
      <c r="F15" s="40"/>
    </row>
    <row r="16">
      <c r="A16" s="39"/>
      <c r="B16" s="39"/>
      <c r="C16" s="39"/>
      <c r="D16" s="39"/>
      <c r="E16" s="41"/>
      <c r="F16" s="40"/>
    </row>
    <row r="17">
      <c r="A17" s="39"/>
      <c r="B17" s="39"/>
      <c r="C17" s="39"/>
      <c r="D17" s="39"/>
      <c r="E17" s="41"/>
      <c r="F17" s="40"/>
    </row>
    <row r="18">
      <c r="A18" s="39"/>
      <c r="B18" s="39"/>
      <c r="C18" s="39"/>
      <c r="D18" s="39"/>
      <c r="E18" s="41"/>
      <c r="F18" s="40"/>
    </row>
    <row r="19">
      <c r="A19" s="39"/>
      <c r="B19" s="39"/>
      <c r="C19" s="39"/>
      <c r="D19" s="39"/>
      <c r="E19" s="41"/>
      <c r="F19" s="40"/>
    </row>
    <row r="20">
      <c r="A20" s="39"/>
      <c r="B20" s="39"/>
      <c r="C20" s="39"/>
      <c r="D20" s="42"/>
      <c r="E20" s="41"/>
      <c r="F20" s="40"/>
    </row>
    <row r="21">
      <c r="A21" s="39"/>
      <c r="B21" s="39"/>
      <c r="C21" s="39"/>
      <c r="D21" s="39"/>
      <c r="E21" s="41"/>
      <c r="F21" s="43"/>
    </row>
    <row r="22">
      <c r="A22" s="39"/>
      <c r="B22" s="44"/>
      <c r="C22" s="39"/>
      <c r="D22" s="39"/>
      <c r="E22" s="45"/>
      <c r="F22" s="46"/>
    </row>
    <row r="23">
      <c r="A23" s="39"/>
      <c r="B23" s="44"/>
      <c r="C23" s="39"/>
      <c r="D23" s="42"/>
      <c r="E23" s="45"/>
      <c r="F23" s="46"/>
    </row>
    <row r="24">
      <c r="A24" s="39"/>
      <c r="B24" s="44"/>
      <c r="C24" s="39"/>
      <c r="D24" s="39"/>
      <c r="E24" s="45"/>
      <c r="F24" s="46"/>
    </row>
    <row r="25">
      <c r="A25" s="39"/>
      <c r="B25" s="44"/>
      <c r="C25" s="39"/>
      <c r="D25" s="39"/>
      <c r="E25" s="45"/>
      <c r="F25" s="46"/>
    </row>
    <row r="26">
      <c r="A26" s="39"/>
      <c r="B26" s="44"/>
      <c r="C26" s="39"/>
      <c r="D26" s="39"/>
      <c r="E26" s="45"/>
      <c r="F26" s="46"/>
    </row>
    <row r="27">
      <c r="A27" s="39"/>
      <c r="B27" s="44"/>
      <c r="C27" s="39"/>
      <c r="D27" s="39"/>
      <c r="E27" s="45"/>
      <c r="F27" s="46"/>
    </row>
    <row r="28">
      <c r="A28" s="39"/>
      <c r="B28" s="44"/>
      <c r="C28" s="39"/>
      <c r="D28" s="39"/>
      <c r="E28" s="45"/>
      <c r="F28" s="46"/>
    </row>
    <row r="29">
      <c r="A29" s="39"/>
      <c r="B29" s="44"/>
      <c r="C29" s="39"/>
      <c r="D29" s="39"/>
      <c r="E29" s="45"/>
      <c r="F29" s="46"/>
    </row>
    <row r="30">
      <c r="A30" s="39"/>
      <c r="B30" s="44"/>
      <c r="C30" s="39"/>
      <c r="D30" s="39"/>
      <c r="E30" s="45"/>
      <c r="F30" s="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63"/>
  </cols>
  <sheetData>
    <row r="1">
      <c r="A1" s="7" t="s">
        <v>139</v>
      </c>
      <c r="B1" s="7" t="s">
        <v>54</v>
      </c>
    </row>
    <row r="2">
      <c r="A2" s="10" t="s">
        <v>140</v>
      </c>
      <c r="B2" s="15" t="s">
        <v>56</v>
      </c>
    </row>
    <row r="3">
      <c r="A3" s="10"/>
      <c r="B3" s="10" t="s">
        <v>58</v>
      </c>
    </row>
    <row r="4">
      <c r="A4" s="10"/>
      <c r="B4" s="15" t="s">
        <v>60</v>
      </c>
    </row>
    <row r="5">
      <c r="A5" s="10"/>
      <c r="B5" s="10"/>
    </row>
    <row r="6">
      <c r="A6" s="10"/>
      <c r="B6" s="23"/>
    </row>
    <row r="7">
      <c r="A7" s="10"/>
      <c r="B7" s="23"/>
    </row>
  </sheetData>
  <drawing r:id="rId1"/>
</worksheet>
</file>